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2133216\Desktop\Рабочие инструменты\УИПУ\ПИЛОТ\Компании поверки\"/>
    </mc:Choice>
  </mc:AlternateContent>
  <bookViews>
    <workbookView xWindow="0" yWindow="0" windowWidth="18990" windowHeight="10230" activeTab="3"/>
  </bookViews>
  <sheets>
    <sheet name="Первые переговоры" sheetId="1" r:id="rId1"/>
    <sheet name="Компании и цены" sheetId="2" r:id="rId2"/>
    <sheet name="Аккредитация" sheetId="3" r:id="rId3"/>
    <sheet name="CJM полного цикла" sheetId="4" r:id="rId4"/>
    <sheet name="Лист встречи" sheetId="5" r:id="rId5"/>
  </sheets>
  <calcPr calcId="162913"/>
  <oleSize ref="A1:W60"/>
  <fileRecoveryPr repairLoad="1"/>
</workbook>
</file>

<file path=xl/sharedStrings.xml><?xml version="1.0" encoding="utf-8"?>
<sst xmlns="http://schemas.openxmlformats.org/spreadsheetml/2006/main" count="724" uniqueCount="528">
  <si>
    <t>Пилот в Твери: с кем начать переговоры</t>
  </si>
  <si>
    <t>Первая волна из 6 кандидатов • порядок учитывает местное присутствие, а не является рейтингом качества</t>
  </si>
  <si>
    <t>ID</t>
  </si>
  <si>
    <t>Кандидат</t>
  </si>
  <si>
    <t>Почему в первой волне</t>
  </si>
  <si>
    <t>Главный вопрос встречи</t>
  </si>
  <si>
    <t>Ориентир по цене</t>
  </si>
  <si>
    <t>Контакт</t>
  </si>
  <si>
    <t>T01</t>
  </si>
  <si>
    <t>Альтернатива</t>
  </si>
  <si>
    <t>Местное юрлицо и действующая запись РАЛ. Начать с проверки бытового выездного контура.</t>
  </si>
  <si>
    <t>Прайс на 1/2 счётчика; квартирные выезды; актуальная область; кто обучается монтажу.</t>
  </si>
  <si>
    <t>700 ₽ — только каталог; действующий прайс запросить</t>
  </si>
  <si>
    <t>+7 (4822) 52-34-71
alterntver@yandex.ru</t>
  </si>
  <si>
    <t>T02</t>
  </si>
  <si>
    <t>РОТЭС</t>
  </si>
  <si>
    <t>Местная инженерная компания с выездом, монтажом и описанной партнёрской схемой.</t>
  </si>
  <si>
    <t>Кто подписывает договор и вносит Аршин; стоимость полного визита; ответственность за повторный выезд.</t>
  </si>
  <si>
    <t>От 600 ₽/шт. только от 4 приборов; цена 1/2 не опубликована. Замена 2400 ₽ с Enbra.</t>
  </si>
  <si>
    <t>+7 (4822) 52-35-36
+7 (900) 011-56-77
rotes@inbox.ru</t>
  </si>
  <si>
    <t>T03</t>
  </si>
  <si>
    <t>Метробаланс</t>
  </si>
  <si>
    <t>Локальный офис, опубликованная цена и выезд с заменой. Приоритет условный: подтвердить связку ИП.</t>
  </si>
  <si>
    <t>Договор между ИП, конечный исполнитель; акция; полная цена монтажа и гарантийного выезда.</t>
  </si>
  <si>
    <t>550 ₽ на сайте, рядом 750 ₽; условия акции уточнить. Замена от 1500 ₽, состав уточнить.</t>
  </si>
  <si>
    <t>+7 (4822) 22-39-32
metrobalans@yandex.ru</t>
  </si>
  <si>
    <t>T04</t>
  </si>
  <si>
    <t>Доступный Сервис</t>
  </si>
  <si>
    <t>Собственная действующая запись, местный адрес, есть монтаж и отдельное направление B2B.</t>
  </si>
  <si>
    <t>Тверская команда и контакт руководителя; тариф пилота; единый визит и обмен статусами.</t>
  </si>
  <si>
    <t>Основной прайс 650 ₽; 600 ₽ льготникам/от 10 приборов. На странице также старый промокод 2024.</t>
  </si>
  <si>
    <t>+7 (4822) 73-44-18
info@dostupservis.ru</t>
  </si>
  <si>
    <t>T05</t>
  </si>
  <si>
    <t>Единый центр приборов учёта (ЕЦПУ)</t>
  </si>
  <si>
    <t>Действующая запись, местный офис и опубликованный состав замены — база для единого визита.</t>
  </si>
  <si>
    <t>Цена 1/2 приборов; постоянные мастера; продажа/монтаж после обучения; договор и поддержка.</t>
  </si>
  <si>
    <t>В блоке цен 600 ₽ по акции; заголовок 500 ₽. Несколько — от 490 ₽/шт.; замена от 2400 ₽ комплектом.</t>
  </si>
  <si>
    <t>+7 (4822) 78-38-32
info@ecepu.ru</t>
  </si>
  <si>
    <t>T06</t>
  </si>
  <si>
    <t>Измерительные системы</t>
  </si>
  <si>
    <t>Действующая запись и понятный тариф на два прибора; сравнительный вариант к местным командам.</t>
  </si>
  <si>
    <t>Кто постоянно работает в Твери; монтаж за один визит; SLA Аршин и повторного выезда.</t>
  </si>
  <si>
    <t>700 ₽ за 1; при 2+ — 650 ₽/шт. Сумма за 2 рассчитана как 2 × 650. В других городах области дороже.</t>
  </si>
  <si>
    <t>8 800 700-80-62
lid@poverka.info</t>
  </si>
  <si>
    <t>Как читать список</t>
  </si>
  <si>
    <t>23 записи о брендах/организациях, включая связанных поверителей, резерв и исключения. Это не 23 независимые бригады.</t>
  </si>
  <si>
    <t>Что проверено</t>
  </si>
  <si>
    <t>В РАЛ проверены опубликованные номера и ИНН. «Действует» подтверждает статус записи, но не готовность к нашему пилоту.</t>
  </si>
  <si>
    <t>Что осталось</t>
  </si>
  <si>
    <t>Область по моделям счётчиков, полномочия мастеров, свежие записи Аршин, цены B2B, загрузка и готовность к договору.</t>
  </si>
  <si>
    <t>Сначала местные</t>
  </si>
  <si>
    <t>Первые три разговора — местное юрлицо/офис. Ещё три — сети для сравнения цены и организации работы.</t>
  </si>
  <si>
    <t>Кого не запускать</t>
  </si>
  <si>
    <t>T16: указанный ПРОФТЕХКОМ — «Приостановлен»; T22: указанный МС Водомер — «Прекращен». Нового поверителя нужно проверять отдельно.</t>
  </si>
  <si>
    <t>Не задваивать</t>
  </si>
  <si>
    <t>T02 РОТЭС и T12 Акватехника связаны. У T03 Метробаланс разные ИП на сайте и в РАЛ — запросить договорную связку.</t>
  </si>
  <si>
    <t>Цены</t>
  </si>
  <si>
    <t>Цены розничные, часть акционные/из каталогов; коммерческие предложения не получены. Даты обновления страниц часто отсутствуют.</t>
  </si>
  <si>
    <t>Качество</t>
  </si>
  <si>
    <t>Рейтинги каталогов и отзывы 2022–2024 не использованы для ранжирования. Проверять контрольным выездом и подтверждением результата.</t>
  </si>
  <si>
    <t>Следующий шаг</t>
  </si>
  <si>
    <t>Провести 6 разговоров по листу встречи → выбрать основного и резервного после проверки → обучить → провести контрольные визиты.</t>
  </si>
  <si>
    <t>Граница исследования</t>
  </si>
  <si>
    <t>Сайты компаний, местные перечни Водоканала/ЕРКЦ, каталоги и РАЛ. Полнота рынка не гарантируется; контакт с компаниями не проводился.</t>
  </si>
  <si>
    <t>Тверь — компании, цены и контакты</t>
  </si>
  <si>
    <t>Срез 14.10.2026 • ₽, розничные предложения • пустая цена = не найдена • условия и источники справа</t>
  </si>
  <si>
    <t>Компания / бренд</t>
  </si>
  <si>
    <t>Местное присутствие</t>
  </si>
  <si>
    <t>Поверка 1, ₽</t>
  </si>
  <si>
    <t>Поверка 2, ₽</t>
  </si>
  <si>
    <t>Замена 1, ₽</t>
  </si>
  <si>
    <t>Условия цены и ограничения</t>
  </si>
  <si>
    <t>Услуги / режим по источнику</t>
  </si>
  <si>
    <t>Публичный контакт</t>
  </si>
  <si>
    <t>Сайт</t>
  </si>
  <si>
    <t>Отбор для пилота</t>
  </si>
  <si>
    <t/>
  </si>
  <si>
    <t>Источник цены</t>
  </si>
  <si>
    <t>Источник контакта / географии</t>
  </si>
  <si>
    <t>Дополнительный источник</t>
  </si>
  <si>
    <t>Местная компания: Тверь, Павлова 10/10А</t>
  </si>
  <si>
    <t>Поверка; формат выезда и монтаж уточнить</t>
  </si>
  <si>
    <t>http://altern.ru</t>
  </si>
  <si>
    <t>Первая волна</t>
  </si>
  <si>
    <t>https://tver.vodochet.ru/</t>
  </si>
  <si>
    <t>https://pub.fsa.gov.ru/ral/view/32752/applicant</t>
  </si>
  <si>
    <t>Местная компания: Тверь, Комсомольский пр-т 12</t>
  </si>
  <si>
    <t>Выездная поверка, замена, монтаж, обслуживание; заявлена передача в РСО</t>
  </si>
  <si>
    <t>https://rotes.pro</t>
  </si>
  <si>
    <t>https://rotes.pro/price</t>
  </si>
  <si>
    <t>https://rotes.pro/contacts</t>
  </si>
  <si>
    <t>https://rotes.pro/services</t>
  </si>
  <si>
    <t>Локальный офис: Боровлево-1, стр. 7, оф. 6 (Калининский м.о.)</t>
  </si>
  <si>
    <t>Поверка без снятия; замена воды и тепла; выезд в день обращения заявлен</t>
  </si>
  <si>
    <t>https://metrobalance.ru</t>
  </si>
  <si>
    <t>https://metrobalance.ru/</t>
  </si>
  <si>
    <t>https://metrobalance.ru/contacts</t>
  </si>
  <si>
    <t>Сеть с адресом в Твери: пр-т Победы 11</t>
  </si>
  <si>
    <t>Без снятия; замена/установка; разделы диспетчеризации и B2B; 08–21 ежедневно</t>
  </si>
  <si>
    <t>https://dostupservis.ru/tver/</t>
  </si>
  <si>
    <t>https://dostupservis.ru/tver/company/contacts</t>
  </si>
  <si>
    <t>Сеть с адресом в Твери: Двор Пролетарки 7</t>
  </si>
  <si>
    <t>Без снятия; замена с прибором, работой и вводом; 09–21 ежедневно</t>
  </si>
  <si>
    <t>https://tver.ecepu.ru/</t>
  </si>
  <si>
    <t>https://tver.ecepu.ru/kontakty</t>
  </si>
  <si>
    <t>Сеть; Тверь заявлена на сайте и в ЕРКЦ, местный офис не подтверждён</t>
  </si>
  <si>
    <t>Поверка на дому; заявлены выезд за 1 рабочий день и гарантия работ 1 год</t>
  </si>
  <si>
    <t>https://tver.poverka.info/</t>
  </si>
  <si>
    <t>https://tver.poverka.info/uslugi/poverka-schetchikov-vodyi-dlya-naseleniya/</t>
  </si>
  <si>
    <t>https://tver.poverka.info/contacts/</t>
  </si>
  <si>
    <t>T07</t>
  </si>
  <si>
    <t>МетроСтандарт</t>
  </si>
  <si>
    <t>Тверской контакт и сайт; поверитель зарегистрирован вне Твери</t>
  </si>
  <si>
    <t>Цены только из Водочета: 750 ₽ поверка, 2750 ₽ замена; сайт не удалось прочитать.</t>
  </si>
  <si>
    <t>Выезды по Твери/области заявлены; монтаж и наличие приборов уточнить</t>
  </si>
  <si>
    <t>+7 (919) 068-31-11
+7 (910) 534-42-22
metrostandart69@yandex.ru</t>
  </si>
  <si>
    <t>https://metrostandart69.ru/</t>
  </si>
  <si>
    <t>Резерв</t>
  </si>
  <si>
    <t>https://tver.vodochet.ru/metrostandart</t>
  </si>
  <si>
    <t>https://tvervodokanal.ru/abonentam/pribory-ucheta/poverka-priborov-ucheta</t>
  </si>
  <si>
    <t>T08</t>
  </si>
  <si>
    <t>Городская метрологическая служба</t>
  </si>
  <si>
    <t>Тверской адрес на сайте: Трёхсвятская 14; сеть</t>
  </si>
  <si>
    <t>Прайс 700 ₽/1, 1200 ₽/2, 2200 ₽/4; другая карточка сайта — 950 ₽/1. Замена комплектом 2800 ₽.</t>
  </si>
  <si>
    <t>Без снятия; замена; ежедневные выезды; бесплатный выезд заявлен</t>
  </si>
  <si>
    <t>+7 (4822) 75-35-20
+7 (930) 165-35-20
tver.poverka@yandex.ru</t>
  </si>
  <si>
    <t>https://tver.poverkapro.ru/</t>
  </si>
  <si>
    <t>Резерв: расхождения</t>
  </si>
  <si>
    <t>https://tver.poverkapro.ru/prays-list</t>
  </si>
  <si>
    <t>T09</t>
  </si>
  <si>
    <t>ГорВодоУчет+</t>
  </si>
  <si>
    <t>Есть тверские контакты в Водоканале и ЕРКЦ</t>
  </si>
  <si>
    <t>Публичный действующий тариф не найден</t>
  </si>
  <si>
    <t>Поверка указана в местных списках; состав выезда уточнить</t>
  </si>
  <si>
    <t>+7 (4822) 64-64-30
+7 (900) 010-44-42</t>
  </si>
  <si>
    <t>https://горводоучет.рус</t>
  </si>
  <si>
    <t>Тариф не найден</t>
  </si>
  <si>
    <t>T10</t>
  </si>
  <si>
    <t>Центр метрологии и стандартизации</t>
  </si>
  <si>
    <t>Тверские контакты; Тверь/Конаково в ЕРКЦ</t>
  </si>
  <si>
    <t>Поверка в местном перечне; монтаж уточнить</t>
  </si>
  <si>
    <t>+7 (4822) 61-61-51
+7 (963) 221-61-51</t>
  </si>
  <si>
    <t>Не найден</t>
  </si>
  <si>
    <t>T11</t>
  </si>
  <si>
    <t>Аквастандарт</t>
  </si>
  <si>
    <t>Тверские контакты в Водоканале; юрлицо вне региона</t>
  </si>
  <si>
    <t>+7 (4822) 60-00-61
+7 (963) 220-00-61</t>
  </si>
  <si>
    <t>T12</t>
  </si>
  <si>
    <t>Акватехника — партнёр РОТЭС</t>
  </si>
  <si>
    <t>Тверской контакт совпадает с направлением поверки РОТЭС</t>
  </si>
  <si>
    <t>Не переносим автоматически цены РОТЭС на отдельный договор с поверителем</t>
  </si>
  <si>
    <t>Поверка через местного партнёра; отдельную бригаду подтвердить</t>
  </si>
  <si>
    <t>+7 (900) 011-56-77</t>
  </si>
  <si>
    <t>Связанный поверитель</t>
  </si>
  <si>
    <t>T13</t>
  </si>
  <si>
    <t>Медтехника / Поверка777</t>
  </si>
  <si>
    <t>Тверской контакт в Водоканале; юрлицо Волгограда</t>
  </si>
  <si>
    <t>Поверка указана в местном перечне</t>
  </si>
  <si>
    <t>+7 (931) 109-12-96</t>
  </si>
  <si>
    <t>https://poverka777.ru/</t>
  </si>
  <si>
    <t>T14</t>
  </si>
  <si>
    <t>Эталон</t>
  </si>
  <si>
    <t>Тверской контакт в Водоканале; юрлицо Санкт-Петербурга</t>
  </si>
  <si>
    <t>+7 (4822) 47-68-00
+7 (910) 647-68-00</t>
  </si>
  <si>
    <t>T15</t>
  </si>
  <si>
    <t>Водоресурс</t>
  </si>
  <si>
    <t>Тверские контакты в Водоканале; юрлицо Тольятти</t>
  </si>
  <si>
    <t>+7 (930) 174-47-44
+7 (930) 161-00-01</t>
  </si>
  <si>
    <t>T16</t>
  </si>
  <si>
    <t>Поверка-Тверь / ПРОФТЕХКОМ</t>
  </si>
  <si>
    <t>Местный сайт ИП Утриванова; Водоканал ссылается на ПРОФТЕХКОМ</t>
  </si>
  <si>
    <t>700 ₽ поверка; замена от 2500 ₽. Не основание для допуска к пилоту.</t>
  </si>
  <si>
    <t>Без снятия; замена, сантехнические работы; Тверь и область</t>
  </si>
  <si>
    <t>+7 (930) 174-48-58
+7 (906) 656-41-07
Promles5@yandex.ru</t>
  </si>
  <si>
    <t>https://поверка-тверь.рф</t>
  </si>
  <si>
    <t>Стоп до проверки</t>
  </si>
  <si>
    <t>https://xn----7sbfcmd5a3ainfv7k.xn--p1ai/</t>
  </si>
  <si>
    <t>T17</t>
  </si>
  <si>
    <t>ФБУ «Тверской ЦСМ»</t>
  </si>
  <si>
    <t>Местное учреждение: Тверь, Плеханова 51</t>
  </si>
  <si>
    <t>Цена поверки воды не найдена; цены газа/электричества не подставлялись</t>
  </si>
  <si>
    <t>В Твери — со снятием; выезд без снятия указан только для Бежецкого сектора</t>
  </si>
  <si>
    <t>8 800 707-14-43
+7 (4822) 79-66-52
bp1@tverstandart.ru</t>
  </si>
  <si>
    <t>https://tverstandart.ru</t>
  </si>
  <si>
    <t>Лабораторный резерв</t>
  </si>
  <si>
    <t>https://tverstandart.ru/about/deyatelnost/metrologiya/fizicheskim-liczam-%28poverka-schetchikov-vodyi-i-gaza%29/</t>
  </si>
  <si>
    <t>T18</t>
  </si>
  <si>
    <t>Единая служба сервиса</t>
  </si>
  <si>
    <t>Региональная страница Твери; офис не подтверждён</t>
  </si>
  <si>
    <t>На сайте 450 ₽/1; 400 ₽/шт. при 2; от 10 — 350 ₽/шт. Замена 1400 ₽ комплектом. Каталог даёт 750 ₽.</t>
  </si>
  <si>
    <t>Поверка на дому, замена и установка заявлены; 08–20 ежедневно</t>
  </si>
  <si>
    <t>+7 (963) 230-74-20</t>
  </si>
  <si>
    <t>https://tver.essrf.ru/</t>
  </si>
  <si>
    <t>Сначала идентификация</t>
  </si>
  <si>
    <t>https://tver.essrf.ru/nashi-uslugi</t>
  </si>
  <si>
    <t>T19</t>
  </si>
  <si>
    <t>Регион-Сервис</t>
  </si>
  <si>
    <t>Сетевая страница Твери; постоянный офис не подтверждён</t>
  </si>
  <si>
    <t>Реклама от 350/400 ₽; тариф одиночного визита неясен. Замена от 1450/2150 ₽ без ясного состава.</t>
  </si>
  <si>
    <t>Поверка, замена, сантехника/электрика заявлены</t>
  </si>
  <si>
    <t>+7 (930) 810-69-99</t>
  </si>
  <si>
    <t>https://tver.rus-region.ru/</t>
  </si>
  <si>
    <t>https://tver.rus-region.ru/prodazha/schetchik-vody-puls-15u-110</t>
  </si>
  <si>
    <t>T20</t>
  </si>
  <si>
    <t>ВодоПроект</t>
  </si>
  <si>
    <t>Страница Твери; московский телефон, местная команда не подтверждена</t>
  </si>
  <si>
    <t>850 ₽/1, 1700 ₽/2; область 900 ₽/1. 590 ₽ — от 50 приборов; вечерний тариф отдельно.</t>
  </si>
  <si>
    <t>Без снятия; замена и сантехника заявлены; подтвердить фактический выезд в Тверь</t>
  </si>
  <si>
    <t>+7 (499) 653-51-23
info@vodo-proekt.ru</t>
  </si>
  <si>
    <t>https://tver.vodo-proekt.ru/</t>
  </si>
  <si>
    <t>https://tver.vodo-proekt.ru/ceny/</t>
  </si>
  <si>
    <t>T21</t>
  </si>
  <si>
    <t>МС-Ресурс</t>
  </si>
  <si>
    <t>В ЕРКЦ: Кимры, Кашин, Калязин; город Тверь — только каталог</t>
  </si>
  <si>
    <t>750 ₽ — каталог, текущий тариф не подтверждён</t>
  </si>
  <si>
    <t>Поверка; выезд в город Тверь отдельно подтвердить</t>
  </si>
  <si>
    <t>Подтверждённый тверской контакт не найден</t>
  </si>
  <si>
    <t>Уточнить географию</t>
  </si>
  <si>
    <t>https://www.erkc-tver.ru/poverka_priborov_ycheta</t>
  </si>
  <si>
    <t>T22</t>
  </si>
  <si>
    <t>МС Водомер</t>
  </si>
  <si>
    <t>Тверская карточка каталога; присутствие сейчас не подтверждено</t>
  </si>
  <si>
    <t>900 ₽ — каталог; не подтверждён действующий тариф</t>
  </si>
  <si>
    <t>Выездная поверка указана только в каталоге</t>
  </si>
  <si>
    <t>info@vodomer.ru — по каталогу; телефон не подтверждён</t>
  </si>
  <si>
    <t>https://tver.vodochet.ru/ms-vodomer</t>
  </si>
  <si>
    <t>T23</t>
  </si>
  <si>
    <t>Сантехник Дома</t>
  </si>
  <si>
    <t>Региональная карточка; офис и юрлицо не подтверждены</t>
  </si>
  <si>
    <t>1000 ₽ поверка и 3500 ₽ замена — только каталоги; состав и актуальность неизвестны</t>
  </si>
  <si>
    <t>Сантехнические работы и поверка заявлены каталогами</t>
  </si>
  <si>
    <t>+7 (922) 355-30-00
info@santehnic-doma.ru — по каталогу</t>
  </si>
  <si>
    <t>https://tver.santehnic-doma.ru/poverka-schetchikov-vody.php</t>
  </si>
  <si>
    <t>https://tver.poverka-ceny-otzyvy.ru/santehnik-doma</t>
  </si>
  <si>
    <t>https://tver.vodochet.ru/zamena-schetchikov-vody</t>
  </si>
  <si>
    <t>Росаккредитация — статус и договорная цепочка</t>
  </si>
  <si>
    <t>Статусы РАЛ прочитаны 14.10.2026 • область по конкретным типам счётчиков и полномочия местных мастеров требуют проверки</t>
  </si>
  <si>
    <t>Бренд</t>
  </si>
  <si>
    <t>Контрагент / поверитель</t>
  </si>
  <si>
    <t>ИНН</t>
  </si>
  <si>
    <t>Модель исполнения</t>
  </si>
  <si>
    <t>Номер записи РАЛ</t>
  </si>
  <si>
    <t>Статус на дату проверки</t>
  </si>
  <si>
    <t>Что проверить до допуска</t>
  </si>
  <si>
    <t>Официальная карточка РАЛ</t>
  </si>
  <si>
    <t>Источник связи бренда и поверителя</t>
  </si>
  <si>
    <t>ООО «Альтернатива»</t>
  </si>
  <si>
    <t>6952023475</t>
  </si>
  <si>
    <t>Собственная аккредитация</t>
  </si>
  <si>
    <t>RA.RU.310622</t>
  </si>
  <si>
    <t>Действует</t>
  </si>
  <si>
    <t>Область сокращалась 26.05.2025. Проверить текущие типы водосчётчиков и выездную методику.</t>
  </si>
  <si>
    <t>ООО Предприятие «РОТЭС»</t>
  </si>
  <si>
    <t>6905056988</t>
  </si>
  <si>
    <t>Через партнёра: ООО «Акватехника»</t>
  </si>
  <si>
    <t>RA.RU.312333</t>
  </si>
  <si>
    <t>Действует у партнёра</t>
  </si>
  <si>
    <t>Партнёр ИНН 6316234133. Связь заявлена на сайте; запросить договор и полномочия мастеров. Связано с T12.</t>
  </si>
  <si>
    <t>https://pub.fsa.gov.ru/ral/view/31426/applicant</t>
  </si>
  <si>
    <t>На сайте: ИП Рыбачук А.Ю.; поверитель: ИП Лапик Л.М.</t>
  </si>
  <si>
    <t>510704946468 / 781698314558</t>
  </si>
  <si>
    <t>Разные ИП: партнёрскую схему подтвердить</t>
  </si>
  <si>
    <t>RA.RU.314477</t>
  </si>
  <si>
    <t>Действует у указанного поверителя</t>
  </si>
  <si>
    <t>Контакты называют Рыбачука, РАЛ — Лапик. Нужны договорная связка и ответственный за Аршин.</t>
  </si>
  <si>
    <t>https://pub.fsa.gov.ru/ral/view/36027/applicant</t>
  </si>
  <si>
    <t>ООО «Доступный Сервис»</t>
  </si>
  <si>
    <t>7743166217</t>
  </si>
  <si>
    <t>RA.RU.311893</t>
  </si>
  <si>
    <t>Подтвердить актуальную цену и собственную постоянную бригаду в Твери. Монтаж нашего контроллера не подтверждён.</t>
  </si>
  <si>
    <t>https://pub.fsa.gov.ru/ral/view/31013/applicant</t>
  </si>
  <si>
    <t>ООО «Единый Центр Приборов Учета»</t>
  </si>
  <si>
    <t>7804281058</t>
  </si>
  <si>
    <t>RA.RU.312511</t>
  </si>
  <si>
    <t>Разные цены внутри сайта. Зафиксировать конечный тариф без условий «от» и кто приезжает в Твери.</t>
  </si>
  <si>
    <t>https://pub.fsa.gov.ru/ral/view/32443/applicant</t>
  </si>
  <si>
    <t>ООО «Измерительные системы»</t>
  </si>
  <si>
    <t>1656057669</t>
  </si>
  <si>
    <t>RA.RU.312116</t>
  </si>
  <si>
    <t>В списке Водоканала опечатка ИНН (11 цифр); здесь ИНН из РАЛ. Подтвердить локальную команду и монтаж.</t>
  </si>
  <si>
    <t>https://pub.fsa.gov.ru/ral/view/31196/applicant</t>
  </si>
  <si>
    <t>ООО «Метростандарт»</t>
  </si>
  <si>
    <t>6321323773</t>
  </si>
  <si>
    <t>Запись юрлица есть; связь местной команды уточнить</t>
  </si>
  <si>
    <t>RA.RU.312729</t>
  </si>
  <si>
    <t>Цена не подтверждена первичным сайтом; уточнить договорную связь с тверской командой.</t>
  </si>
  <si>
    <t>https://pub.fsa.gov.ru/ral/view/33253/applicant</t>
  </si>
  <si>
    <t>ООО «ГМС»</t>
  </si>
  <si>
    <t>5257201290</t>
  </si>
  <si>
    <t>Собственная запись; местную договорную схему уточнить</t>
  </si>
  <si>
    <t>RA.RU.314398</t>
  </si>
  <si>
    <t>На сайте одновременно RA.RU.314398 и RA.RU.314069, цены 700/950. Проверен только первый номер.</t>
  </si>
  <si>
    <t>https://pub.fsa.gov.ru/ral/view/35750/applicant</t>
  </si>
  <si>
    <t>ООО «ГорВодоУчет+»</t>
  </si>
  <si>
    <t>4500006390</t>
  </si>
  <si>
    <t>Запись юрлица есть; местную схему уточнить</t>
  </si>
  <si>
    <t>RA.RU.314552</t>
  </si>
  <si>
    <t>ИНН в РАЛ/ЕРКЦ 4500006390; Водоканал указывает 4501214219. Использовать реквизиты актуального договора.</t>
  </si>
  <si>
    <t>https://pub.fsa.gov.ru/ral/view/36301/applicant</t>
  </si>
  <si>
    <t>ООО «ЦМС»</t>
  </si>
  <si>
    <t>7801679926</t>
  </si>
  <si>
    <t>RA.RU.430291</t>
  </si>
  <si>
    <t>Отдельно проверить область: статус АЛ в ОЕИ сам по себе не подтверждает нужный тип водосчётчика.</t>
  </si>
  <si>
    <t>https://pub.fsa.gov.ru/ral/view/34717/applicant</t>
  </si>
  <si>
    <t>ООО «Аквастандарт»</t>
  </si>
  <si>
    <t>6318065642</t>
  </si>
  <si>
    <t>RA.RU.314031</t>
  </si>
  <si>
    <t>Нет подтверждённого местного прайса и юридической схемы работы выездной команды.</t>
  </si>
  <si>
    <t>https://pub.fsa.gov.ru/ral/view/34831/applicant</t>
  </si>
  <si>
    <t>ООО «Акватехника»</t>
  </si>
  <si>
    <t>6316234133</t>
  </si>
  <si>
    <t>Аккредитованный партнёр T02</t>
  </si>
  <si>
    <t>Связь с T02; не считать двумя независимыми командами и не дублировать объём.</t>
  </si>
  <si>
    <t>АО «Медтехника»</t>
  </si>
  <si>
    <t>3446018755</t>
  </si>
  <si>
    <t>RA.RU.311945</t>
  </si>
  <si>
    <t>В справочнике ОАО, в РАЛ АО. Подтвердить текущего контрагента, наличие команды и тариф.</t>
  </si>
  <si>
    <t>https://pub.fsa.gov.ru/ral/view/31062/applicant</t>
  </si>
  <si>
    <t>ООО «Эталон»</t>
  </si>
  <si>
    <t>7838113284</t>
  </si>
  <si>
    <t>RA.RU.314508</t>
  </si>
  <si>
    <t>Не связывать с одноимёнными фирмами без ИНН; подтвердить местный договор и мастеров.</t>
  </si>
  <si>
    <t>https://pub.fsa.gov.ru/ral/view/36147/applicant</t>
  </si>
  <si>
    <t>ООО «Водоресурс»</t>
  </si>
  <si>
    <t>6320071280</t>
  </si>
  <si>
    <t>RA.RU.320266</t>
  </si>
  <si>
    <t>Не путать с МС-Ресурс (T21). Уточнить местное исполнение и монтаж.</t>
  </si>
  <si>
    <t>https://pub.fsa.gov.ru/ral/view/38301/applicant</t>
  </si>
  <si>
    <t>ИП Утриванов А.Е. (сайт); ООО МС «ПРОФТЕХКОМ» (справочник)</t>
  </si>
  <si>
    <t>5027273420 (поверитель)</t>
  </si>
  <si>
    <t>Разные исполнители; схема не подтверждена</t>
  </si>
  <si>
    <t>RA.RU.312822</t>
  </si>
  <si>
    <t>Приостановлен</t>
  </si>
  <si>
    <t>По указанному номеру РАЛ — приостановление. Не допускать по этой записи; выяснить актуального поверителя.</t>
  </si>
  <si>
    <t>https://pub.fsa.gov.ru/ral/view/33521/applicant</t>
  </si>
  <si>
    <t>6902008746</t>
  </si>
  <si>
    <t>RA.RU.311253</t>
  </si>
  <si>
    <t>Не соответствует сценарию единого квартирного визита в Твери по опубликованным условиям.</t>
  </si>
  <si>
    <t>https://pub.fsa.gov.ru/ral/view/30364/applicant</t>
  </si>
  <si>
    <t>Юрлицо не установлено</t>
  </si>
  <si>
    <t>Не установлен</t>
  </si>
  <si>
    <t>Не установлена</t>
  </si>
  <si>
    <t>Не проверено: нет идентификатора</t>
  </si>
  <si>
    <t>Низкий прайс и расхождение с каталогом; сначала реквизиты и реальный поверитель, затем тариф.</t>
  </si>
  <si>
    <t>Номер не установлен — статус не проверен</t>
  </si>
  <si>
    <t>Ссылка на РАЛ есть, но контрагент и конкретная запись не установлены. Не считать собственной аккредитацией.</t>
  </si>
  <si>
    <t>Бренд «ВодоПроект»; контрагента подтвердить</t>
  </si>
  <si>
    <t>Тексты о Москве на странице Твери. Не переносить аккредитацию одноимённого юрлица без реквизитов.</t>
  </si>
  <si>
    <t>ООО «МС-Ресурс»</t>
  </si>
  <si>
    <t>7452109302</t>
  </si>
  <si>
    <t>Запись юрлица есть; связь с карточкой каталога уточнить</t>
  </si>
  <si>
    <t>РОСС RU.0001.310376</t>
  </si>
  <si>
    <t>Не смешивать с Водоресурсом. Покрытие именно города Твери и актуальные контакты не подтверждены.</t>
  </si>
  <si>
    <t>https://pub.fsa.gov.ru/ral/view/29480/applicant</t>
  </si>
  <si>
    <t>ООО МС «Водомер»</t>
  </si>
  <si>
    <t>6683009127</t>
  </si>
  <si>
    <t>Старая запись поверителя из каталога</t>
  </si>
  <si>
    <t>RA.RU.311695</t>
  </si>
  <si>
    <t>Прекращен</t>
  </si>
  <si>
    <t>Каталог пишет о приостановлении в 2022; в РАЛ сейчас «Прекращен». Не допускать по этой записи.</t>
  </si>
  <si>
    <t>https://pub.fsa.gov.ru/ral/view/30817/applicant</t>
  </si>
  <si>
    <t>Установить фактического поверителя и договорную схему до включения в пилот.</t>
  </si>
  <si>
    <t>CJM — от поверки до регулярной оплаты</t>
  </si>
  <si>
    <t>Предлагаемая целевая модель пилота из материалов проекта • роли и критерии ниже нужно согласовать с участниками</t>
  </si>
  <si>
    <t>№</t>
  </si>
  <si>
    <t>Этап</t>
  </si>
  <si>
    <t>Цель / опыт жителя</t>
  </si>
  <si>
    <t>Действия и точка контакта</t>
  </si>
  <si>
    <t>Ответственный / передача</t>
  </si>
  <si>
    <t>Данные и артефакты</t>
  </si>
  <si>
    <t>Критерий завершения</t>
  </si>
  <si>
    <t>Исключения</t>
  </si>
  <si>
    <t>Потребность и напоминание</t>
  </si>
  <si>
    <t>Житель узнаёт о сроке поверки и хочет решить вопрос без лишних визитов.</t>
  </si>
  <si>
    <t>Домклик напоминает по согласованным данным. Альтернатива — собственная заявка подрядчика.</t>
  </si>
  <si>
    <t>Домклик; БРИС как источник данных, если согласовано</t>
  </si>
  <si>
    <t>Адрес, лицевой счёт, прибор, срок поверки; источник и ID лида.</t>
  </si>
  <si>
    <t>Заявка создана, понятен источник и ответственный.</t>
  </si>
  <si>
    <t>Нет достоверного срока — уточнить, не выдавать предположение за обязательное уведомление.</t>
  </si>
  <si>
    <t>Проверка пригодности заявки</t>
  </si>
  <si>
    <t>Житель понимает, доступен ли сервис по его адресу.</t>
  </si>
  <si>
    <t>Оператор проверяет дом/поставщика в пилоте, модель прибора, импульсный выход, связь и доступ к счётчику.</t>
  </si>
  <si>
    <t>Подрядчик + команда продукта / SAURES</t>
  </si>
  <si>
    <t>Фото/модель, ХВС/ГВС, адрес, ЛС; результат проверки совместимости.</t>
  </si>
  <si>
    <t>Адрес поддерживается; выбран комплект или понятен дополнительный объём.</t>
  </si>
  <si>
    <t>Несовместимый прибор/нет связи — отдельная смета либо только поверка.</t>
  </si>
  <si>
    <t>Предложение решения</t>
  </si>
  <si>
    <t>Житель выбирает поверку и при желании автопередачу.</t>
  </si>
  <si>
    <t>Предложение при записи; если не выбрал — мастер повторно объясняет на визите без давления.</t>
  </si>
  <si>
    <t>Домклик + подрядчик; продукт задаёт предложение</t>
  </si>
  <si>
    <t>Раздельно: поверка, контроллер, монтаж, возможная подписка; условия поддержки.</t>
  </si>
  <si>
    <t>Есть добровольный выбор и согласованная полная цена.</t>
  </si>
  <si>
    <t>Отказ от контроллера не мешает выполнить только поверку.</t>
  </si>
  <si>
    <t>Запись и подготовка</t>
  </si>
  <si>
    <t>Житель выбирает удобное время и знает, кто приедет.</t>
  </si>
  <si>
    <t>Диспетчер назначает мастера; готовит оборудование, поверочный комплект, инструкции и запасные материалы.</t>
  </si>
  <si>
    <t>Подрядчик; продукт обеспечивает обучение и комплекты</t>
  </si>
  <si>
    <t>Контакт, слот, состав заказа, ID комплекта, доступ к помещению.</t>
  </si>
  <si>
    <t>Мастер подтвердил выезд; клиент получил время, имя и цену.</t>
  </si>
  <si>
    <t>Перенос/отказ — единый статус в заявке и новое согласование.</t>
  </si>
  <si>
    <t>Начало визита</t>
  </si>
  <si>
    <t>Житель убеждается в личности мастера и объёме работ.</t>
  </si>
  <si>
    <t>Мастер предъявляет данные исполнителя; фиксирует исходные показания, номера, состояние пломб; уточняет цену.</t>
  </si>
  <si>
    <t>Мастер подрядчика</t>
  </si>
  <si>
    <t>Фото до работ; серийные номера; ХВС/ГВС; необходимые согласования по принятой модели.</t>
  </si>
  <si>
    <t>Нет расхождений с заявкой; разрешён согласованный объём работ.</t>
  </si>
  <si>
    <t>Новый объём/нужна замена — согласовать до работ, не менять цену постфактум.</t>
  </si>
  <si>
    <t>Поверка</t>
  </si>
  <si>
    <t>Житель получает достоверный результат проверки прибора.</t>
  </si>
  <si>
    <t>Уполномоченный поверитель проводит процедуру; фиксирует пригодность и результат.</t>
  </si>
  <si>
    <t>Аккредитованный поверитель</t>
  </si>
  <si>
    <t>Прибор, методика, дата, результат, документы; ответственный за запись Аршин.</t>
  </si>
  <si>
    <t>Результат поверки оформлен; определён следующий шаг.</t>
  </si>
  <si>
    <t>Не прошёл: сообщить причину, предложить замену отдельно. Не выдавать монтаж за успешную поверку.</t>
  </si>
  <si>
    <t>Замена при необходимости</t>
  </si>
  <si>
    <t>Житель выбирает замену, если прибор неисправен/несовместим.</t>
  </si>
  <si>
    <t>Подрядчик + поставщик/УК по согласованной схеме</t>
  </si>
  <si>
    <t>Старый/новый номер, конечные/начальные показания, даты, документы.</t>
  </si>
  <si>
    <t>Новый прибор корректно зарегистрирован или есть ответственный за завершение.</t>
  </si>
  <si>
    <t>Нельзя завершить в один визит — согласовать повторный, сохранить статус «не завершено».</t>
  </si>
  <si>
    <t>Монтаж контроллера</t>
  </si>
  <si>
    <t>Житель получает работающее оборудование.</t>
  </si>
  <si>
    <t>Подключить каналы ХВС/ГВС, питание/связь, начальные показания и коэффициенты импульсов.</t>
  </si>
  <si>
    <t>Мастер; SAURES — технические требования</t>
  </si>
  <si>
    <t>ID контроллера, канал, номер прибора, базовое показание, время, настройки.</t>
  </si>
  <si>
    <t>Контроллер установлен; тестовый расход корректно меняет показание.</t>
  </si>
  <si>
    <t>Нет телеметрии/ошибка каналов — устранить либо назначить повторный выезд.</t>
  </si>
  <si>
    <t>Привязка и приёмка</t>
  </si>
  <si>
    <t>Житель видит свои счётчики и понимает, что подключено.</t>
  </si>
  <si>
    <t>Мастер заполняет форму; сервис связывает прибор/контроллер/адрес/ЛС. Проверяется доступ правильного пользователя.</t>
  </si>
  <si>
    <t>Подрядчик → СберДевайсы / сервис учёта → Домклик</t>
  </si>
  <si>
    <t>Адрес–ЛС–прибор–контроллер–канал; фото; статус установки.</t>
  </si>
  <si>
    <t>Связка однозначна; тестовые показания совпадают с фактическими.</t>
  </si>
  <si>
    <t>Не найден ЛС/дубль/чужой прибор — не активировать ошибочную привязку.</t>
  </si>
  <si>
    <t>Документы и оплата работ</t>
  </si>
  <si>
    <t>Житель получает документы, чек и инструкцию.</t>
  </si>
  <si>
    <t>Оформить выполненные работы и оплату услуги/оборудования по договорной модели; дать контакт поддержки.</t>
  </si>
  <si>
    <t>Подрядчик; поверитель — сведения Аршин</t>
  </si>
  <si>
    <t>Акт, чек, гарантия, результат поверки; ссылка/номер записи Аршин после публикации.</t>
  </si>
  <si>
    <t>Документы выданы; запись Аршин проверена; незавершённые действия имеют владельца.</t>
  </si>
  <si>
    <t>Запись Аршин не появилась — задача поверителю до подтверждения. SLA согласовать.</t>
  </si>
  <si>
    <t>Автопередача в БРИС</t>
  </si>
  <si>
    <t>Житель освобождён от ручного ввода в согласованном сценарии.</t>
  </si>
  <si>
    <t>SAURES передаёт данные; сервис сопоставляет прибор; БРИС принимает валидное показание и возвращает статус.</t>
  </si>
  <si>
    <t>SAURES → СберДевайсы → БРИС</t>
  </si>
  <si>
    <t>Показание, единица, время, номер прибора, источник, подтверждение/ошибка.</t>
  </si>
  <si>
    <t>Подтверждено принятие нужного показания для нужного ЛС.</t>
  </si>
  <si>
    <t>Нет связи/аномалия/дубль — уведомление и согласованный резервный процесс.</t>
  </si>
  <si>
    <t>Первое начисление</t>
  </si>
  <si>
    <t>Житель видит корректную сумму за воду.</t>
  </si>
  <si>
    <t>Проверить, что принятое показание использовано в расчётном периоде; разобрать расхождения.</t>
  </si>
  <si>
    <t>БРИС + команда продукта</t>
  </si>
  <si>
    <t>Принятое показание, период, использованное показание, начисление, квитанция.</t>
  </si>
  <si>
    <t>Именно автоматическое показание учтено в начислении. API-приём сам по себе недостаточен.</t>
  </si>
  <si>
    <t>Поздняя передача/ручная корректировка — сверка по правилам БРИС, без двойного учёта.</t>
  </si>
  <si>
    <t>Оплата и аналитика</t>
  </si>
  <si>
    <t>Житель видит расход в Домклике и оплачивает квитанцию в СБОЛ.</t>
  </si>
  <si>
    <t>Трайб «Платежи» обеспечивает квитанцию/оплату; Домклик — расход и историю. Автоплатёж подключается по выбору.</t>
  </si>
  <si>
    <t>Трайб «Платежи» + Домклик</t>
  </si>
  <si>
    <t>Квитанция, ЛС, статус оплаты; согласованная аналитика без лишних персональных данных.</t>
  </si>
  <si>
    <t>Первая успешная оплата связана с нужной квитанцией.</t>
  </si>
  <si>
    <t>Не оплачено/нет квитанции — разделить проблему показа, начисления и платежа.</t>
  </si>
  <si>
    <t>Повторный цикл и поддержка</t>
  </si>
  <si>
    <t>Житель доверяет сервису и знает, куда обратиться.</t>
  </si>
  <si>
    <t>Следить за связью/батареей, разбирать ошибки, замену прибора, переезд; подтвердить следующий цикл оплаты.</t>
  </si>
  <si>
    <t>Единая поддержка → подрядчик / SAURES / БРИС / Платежи</t>
  </si>
  <si>
    <t>История показаний, инцидент, причина, решение, повторное начисление/оплата.</t>
  </si>
  <si>
    <t>Стабильная передача и повторная оплата; инциденты закрываются с подтверждением жителя.</t>
  </si>
  <si>
    <t>Кто оплачивает гарантийный выезд и запасной комплект — закрепить в договоре.</t>
  </si>
  <si>
    <t>Шаблон встречи с подрядчиком</t>
  </si>
  <si>
    <t>Жёлтые поля — для заполнения • опыт продаж контроллера не требуется: обучение и лиды даёт проект</t>
  </si>
  <si>
    <t>Компания</t>
  </si>
  <si>
    <t>Дата встречи</t>
  </si>
  <si>
    <t>Блок</t>
  </si>
  <si>
    <t>Что обсудить</t>
  </si>
  <si>
    <t>Что получить / зафиксировать</t>
  </si>
  <si>
    <t>Ответ компании</t>
  </si>
  <si>
    <t>Срок / владелец</t>
  </si>
  <si>
    <t>01</t>
  </si>
  <si>
    <t>Контрагент и поверитель</t>
  </si>
  <si>
    <t>Кто заключает договор, кто проводит поверку и вносит Аршин? Если партнёр — на каком основании?</t>
  </si>
  <si>
    <t>Реквизиты, актуальная область, договор/полномочия, пример свежей записи Аршин.</t>
  </si>
  <si>
    <t>02</t>
  </si>
  <si>
    <t>Локальная команда</t>
  </si>
  <si>
    <t>Сколько мастеров постоянно в Твери? Какие районы, окна записи и резерв при болезни?</t>
  </si>
  <si>
    <t>Имена ответственных, число доступных визитов в неделю, сроки назначения.</t>
  </si>
  <si>
    <t>03</t>
  </si>
  <si>
    <t>Полная смета</t>
  </si>
  <si>
    <t>Цена 1/2/4 счётчиков; выезд, поверка, замена, контроллер, монтаж, связь, повторный выезд — отдельно.</t>
  </si>
  <si>
    <t>Письменное КП: что включено, НДС/налоги, скидки, доплаты и срок действия.</t>
  </si>
  <si>
    <t>04</t>
  </si>
  <si>
    <t>Один визит</t>
  </si>
  <si>
    <t>Готовы ли после нашего обучения выполнять поверку, предложение, монтаж и цифровую приёмку за один визит?</t>
  </si>
  <si>
    <t>Состав работ; ограничения; стоимость дополнительного времени мастера.</t>
  </si>
  <si>
    <t>05</t>
  </si>
  <si>
    <t>Продажа</t>
  </si>
  <si>
    <t>Как встроить добровольное предложение при записи и на визите? Кто продавец оборудования?</t>
  </si>
  <si>
    <t>Согласованный скрипт; мотивация; чек; возвраты; отказ не мешает поверке.</t>
  </si>
  <si>
    <t>06</t>
  </si>
  <si>
    <t>Оборудование</t>
  </si>
  <si>
    <t>Кто хранит и выдаёт контроллеры? Как учитывать номера, остатки, неисправные устройства и расходники?</t>
  </si>
  <si>
    <t>Ответственный, реестр выдачи, порядок замены брака и пополнения.</t>
  </si>
  <si>
    <t>07</t>
  </si>
  <si>
    <t>Данные</t>
  </si>
  <si>
    <t>Может ли мастер заполнять форму: адрес, ЛС, прибор, канал, контроллер, показание, фото?</t>
  </si>
  <si>
    <t>Минимальный набор полей, правила доступа, тестовая заявка, статус ошибок.</t>
  </si>
  <si>
    <t>08</t>
  </si>
  <si>
    <t>Приёмка</t>
  </si>
  <si>
    <t>Что считается завершённым визитом и кто подтверждает тестовую телеметрию?</t>
  </si>
  <si>
    <t>Чек-лист установки; отдельные статусы «монтаж», «телеметрия», «БРИС», «начисление».</t>
  </si>
  <si>
    <t>09</t>
  </si>
  <si>
    <t>Сроки и поддержка</t>
  </si>
  <si>
    <t>Сроки записи, Аршин, исправления привязки, повторного выезда. Кто отвечает жителю?</t>
  </si>
  <si>
    <t>Таблица сроков и эскалаций; часы работы; кто оплачивает повторный выезд.</t>
  </si>
  <si>
    <t>10</t>
  </si>
  <si>
    <t>Экономика договора</t>
  </si>
  <si>
    <t>Оплата подрядчику за поверку/монтаж/продажу; подтверждение выполнения; брак и отмены.</t>
  </si>
  <si>
    <t>Условия расчётов, документы и ответственность. Ставки не придуманы — получить КП.</t>
  </si>
  <si>
    <t>11</t>
  </si>
  <si>
    <t>Контрольный выезд</t>
  </si>
  <si>
    <t>Как проведём обучение и проверим полный цикл на согласованных адресах?</t>
  </si>
  <si>
    <t>Дата обучения; мастера; сценарии ХВС/ГВС, сбой связи, отказ, неуспешная поверка.</t>
  </si>
  <si>
    <t>12</t>
  </si>
  <si>
    <t>Решение</t>
  </si>
  <si>
    <t>Что осталось для допуска в пилот и кто закрывает каждое условие?</t>
  </si>
  <si>
    <t>Основной/резерв/не подходит; список документов, ответственные и даты.</t>
  </si>
  <si>
    <r>
      <t>Согласовать цену, новый прибор и необходимые действия по вводу/пломбировке с поставщиком.</t>
    </r>
    <r>
      <rPr>
        <sz val="11"/>
        <color rgb="FFFF0000"/>
        <rFont val="Arial"/>
        <family val="2"/>
        <charset val="204"/>
      </rPr>
      <t xml:space="preserve"> (надо ли согласовать никто не делает, но нужно уведомлять УК) собственник должен.</t>
    </r>
  </si>
  <si>
    <t>передача в ГИС ЖКХ - должен зайти собственник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</si>
</sst>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\-#,##0;0"/>
    <numFmt numFmtId="165" formatCode="dd\.mm\.yyyy"/>
  </numFmts>
  <fonts count="11">
    <font>
      <sz val="11"/>
      <name val="Carlito"/>
    </font>
    <font>
      <sz val="11"/>
      <color rgb="FF243746"/>
      <name val="Arial"/>
    </font>
    <font>
      <b/>
      <sz val="16"/>
      <color rgb="FF24435C"/>
      <name val="Arial"/>
    </font>
    <font>
      <sz val="11"/>
      <color rgb="FF596B78"/>
      <name val="Arial"/>
    </font>
    <font>
      <b/>
      <sz val="11"/>
      <color rgb="FFFFFFFF"/>
      <name val="Arial"/>
    </font>
    <font>
      <b/>
      <sz val="11"/>
      <color rgb="FF315D80"/>
      <name val="Arial"/>
    </font>
    <font>
      <sz val="11"/>
      <color rgb="FF315D80"/>
      <name val="Arial"/>
    </font>
    <font>
      <b/>
      <sz val="11"/>
      <color rgb="FF24435C"/>
      <name val="Arial"/>
    </font>
    <font>
      <sz val="11"/>
      <name val="Carlito"/>
    </font>
    <font>
      <sz val="11"/>
      <color rgb="FFFF0000"/>
      <name val="Arial"/>
      <family val="2"/>
      <charset val="204"/>
    </font>
    <font>
      <sz val="11"/>
      <color rgb="FF24374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4435C"/>
      </patternFill>
    </fill>
    <fill>
      <patternFill patternType="solid">
        <fgColor rgb="FFF1F5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24435C"/>
      </bottom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 applyAlignment="1"/>
    <xf numFmtId="0" fontId="1" fillId="0" borderId="1" xfId="1" applyNumberFormat="1" applyFont="1" applyFill="1" applyBorder="1"/>
    <xf numFmtId="0" fontId="3" fillId="0" borderId="0" xfId="1" applyNumberFormat="1" applyFont="1" applyFill="1" applyBorder="1" applyAlignment="1"/>
    <xf numFmtId="0" fontId="1" fillId="0" borderId="0" xfId="1" applyNumberFormat="1" applyFont="1" applyFill="1" applyBorder="1" applyAlignment="1">
      <alignment vertical="top" wrapText="1"/>
    </xf>
    <xf numFmtId="0" fontId="4" fillId="2" borderId="0" xfId="1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Alignment="1">
      <alignment vertical="top" wrapText="1"/>
    </xf>
    <xf numFmtId="164" fontId="1" fillId="0" borderId="0" xfId="1" applyNumberFormat="1" applyFont="1" applyFill="1" applyBorder="1" applyAlignment="1">
      <alignment vertical="top" wrapText="1"/>
    </xf>
    <xf numFmtId="164" fontId="1" fillId="3" borderId="0" xfId="1" applyNumberFormat="1" applyFont="1" applyFill="1" applyBorder="1" applyAlignment="1">
      <alignment vertical="top" wrapText="1"/>
    </xf>
    <xf numFmtId="0" fontId="5" fillId="2" borderId="0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vertical="top" wrapText="1"/>
    </xf>
    <xf numFmtId="0" fontId="6" fillId="3" borderId="0" xfId="1" applyNumberFormat="1" applyFont="1" applyFill="1" applyBorder="1" applyAlignment="1">
      <alignment vertical="top" wrapText="1"/>
    </xf>
    <xf numFmtId="49" fontId="1" fillId="0" borderId="0" xfId="1" applyNumberFormat="1" applyFont="1" applyFill="1" applyBorder="1" applyAlignment="1">
      <alignment vertical="top" wrapText="1"/>
    </xf>
    <xf numFmtId="49" fontId="1" fillId="3" borderId="0" xfId="1" applyNumberFormat="1" applyFont="1" applyFill="1" applyBorder="1" applyAlignment="1">
      <alignment vertical="top" wrapText="1"/>
    </xf>
    <xf numFmtId="0" fontId="7" fillId="0" borderId="0" xfId="1" applyNumberFormat="1" applyFont="1" applyFill="1" applyBorder="1" applyAlignment="1">
      <alignment vertical="top" wrapText="1"/>
    </xf>
    <xf numFmtId="0" fontId="1" fillId="4" borderId="0" xfId="1" applyNumberFormat="1" applyFont="1" applyFill="1" applyBorder="1"/>
    <xf numFmtId="165" fontId="1" fillId="4" borderId="0" xfId="1" applyNumberFormat="1" applyFont="1" applyFill="1" applyBorder="1"/>
    <xf numFmtId="0" fontId="1" fillId="4" borderId="0" xfId="1" applyNumberFormat="1" applyFont="1" applyFill="1" applyBorder="1" applyAlignment="1">
      <alignment vertical="top" wrapText="1"/>
    </xf>
    <xf numFmtId="0" fontId="10" fillId="0" borderId="0" xfId="1" applyNumberFormat="1" applyFont="1" applyFill="1" applyBorder="1" applyAlignment="1">
      <alignment vertical="top" wrapText="1"/>
    </xf>
    <xf numFmtId="0" fontId="10" fillId="0" borderId="0" xfId="1" applyNumberFormat="1" applyFont="1" applyFill="1" applyBorder="1"/>
  </cellXfs>
  <cellStyles count="2">
    <cellStyle name="Normal" xfId="1"/>
    <cellStyle name="Обычный" xfId="0" builtinId="0"/>
  </cellStyles>
  <dxfs count="4">
    <dxf>
      <fill>
        <patternFill patternType="solid">
          <bgColor rgb="FFFFF2CC"/>
        </patternFill>
      </fill>
    </dxf>
    <dxf>
      <font>
        <b/>
        <color rgb="FF9C2F25"/>
      </font>
      <fill>
        <patternFill patternType="solid">
          <bgColor rgb="FFFCE4E2"/>
        </patternFill>
      </fill>
    </dxf>
    <dxf>
      <font>
        <b/>
        <color rgb="FF9C2F25"/>
      </font>
      <fill>
        <patternFill patternType="solid">
          <bgColor rgb="FFFCE4E2"/>
        </patternFill>
      </fill>
    </dxf>
    <dxf>
      <font>
        <b/>
        <color rgb="FF9C2F25"/>
      </font>
      <fill>
        <patternFill patternType="solid">
          <bgColor rgb="FFFCE4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FirstMeetings" displayName="FirstMeetings" ref="A6:F12" totalsRowShown="0">
  <autoFilter ref="A6:F12"/>
  <tableColumns count="6">
    <tableColumn id="1" name="ID"/>
    <tableColumn id="2" name="Кандидат"/>
    <tableColumn id="3" name="Почему в первой волне"/>
    <tableColumn id="4" name="Главный вопрос встречи"/>
    <tableColumn id="5" name="Ориентир по цене"/>
    <tableColumn id="6" name="Контак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Companies" displayName="Companies" ref="A6:O29" totalsRowShown="0">
  <autoFilter ref="A6:O29"/>
  <tableColumns count="15">
    <tableColumn id="1" name="ID"/>
    <tableColumn id="2" name="Компания / бренд"/>
    <tableColumn id="3" name="Местное присутствие"/>
    <tableColumn id="4" name="Поверка 1, ₽"/>
    <tableColumn id="5" name="Поверка 2, ₽"/>
    <tableColumn id="6" name="Замена 1, ₽"/>
    <tableColumn id="7" name="Условия цены и ограничения"/>
    <tableColumn id="8" name="Услуги / режим по источнику"/>
    <tableColumn id="9" name="Публичный контакт"/>
    <tableColumn id="10" name="Сайт"/>
    <tableColumn id="11" name="Отбор для пилота"/>
    <tableColumn id="12" name=" "/>
    <tableColumn id="13" name="Источник цены"/>
    <tableColumn id="14" name="Источник контакта / географии"/>
    <tableColumn id="15" name="Дополнительный 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Accreditation" displayName="Accreditation" ref="A6:K29" totalsRowShown="0">
  <autoFilter ref="A6:K29"/>
  <tableColumns count="11">
    <tableColumn id="1" name="ID"/>
    <tableColumn id="2" name="Бренд"/>
    <tableColumn id="3" name="Контрагент / поверитель"/>
    <tableColumn id="4" name="ИНН"/>
    <tableColumn id="5" name="Модель исполнения"/>
    <tableColumn id="6" name="Номер записи РАЛ"/>
    <tableColumn id="7" name="Статус на дату проверки"/>
    <tableColumn id="8" name="Что проверить до допуска"/>
    <tableColumn id="9" name=" "/>
    <tableColumn id="10" name="Официальная карточка РАЛ"/>
    <tableColumn id="11" name="Источник связи бренда и поверител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Journey" displayName="Journey" ref="A6:H20" totalsRowShown="0">
  <autoFilter ref="A6:H20"/>
  <tableColumns count="8">
    <tableColumn id="1" name="№"/>
    <tableColumn id="2" name="Этап"/>
    <tableColumn id="3" name="Цель / опыт жителя"/>
    <tableColumn id="4" name="Действия и точка контакта"/>
    <tableColumn id="5" name="Ответственный / передача"/>
    <tableColumn id="6" name="Данные и артефакты"/>
    <tableColumn id="7" name="Критерий завершения"/>
    <tableColumn id="8" name="Исключен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eting" displayName="Meeting" ref="A10:F22" totalsRowShown="0">
  <autoFilter ref="A10:F22"/>
  <tableColumns count="6">
    <tableColumn id="1" name="№"/>
    <tableColumn id="2" name="Блок"/>
    <tableColumn id="3" name="Что обсудить"/>
    <tableColumn id="4" name="Что получить / зафиксировать"/>
    <tableColumn id="5" name="Ответ компании"/>
    <tableColumn id="6" name="Срок / владеле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435C"/>
  </sheetPr>
  <dimension ref="A1:W60"/>
  <sheetViews>
    <sheetView showGridLines="0" zoomScale="70" zoomScaleNormal="70" workbookViewId="0">
      <selection activeCell="B7" sqref="B7:B12"/>
    </sheetView>
  </sheetViews>
  <sheetFormatPr defaultRowHeight="13.8"/>
  <cols>
    <col min="1" max="1" width="8" customWidth="1"/>
    <col min="2" max="2" width="29" customWidth="1"/>
    <col min="3" max="3" width="50" customWidth="1"/>
    <col min="4" max="5" width="48" customWidth="1"/>
    <col min="6" max="6" width="35" customWidth="1"/>
  </cols>
  <sheetData>
    <row r="1" spans="1:23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2" customHeight="1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6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6" customHeight="1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55" customHeight="1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5" customHeight="1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55" customHeight="1">
      <c r="A10" s="7" t="s">
        <v>26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55" customHeight="1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5" customHeight="1">
      <c r="A12" s="7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43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52" customHeight="1">
      <c r="A15" s="1"/>
      <c r="B15" s="15" t="s">
        <v>44</v>
      </c>
      <c r="C15" s="5" t="s">
        <v>45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52" customHeight="1">
      <c r="A16" s="1"/>
      <c r="B16" s="15" t="s">
        <v>46</v>
      </c>
      <c r="C16" s="5" t="s">
        <v>47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2" customHeight="1">
      <c r="A17" s="1"/>
      <c r="B17" s="15" t="s">
        <v>48</v>
      </c>
      <c r="C17" s="5" t="s">
        <v>49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52" customHeight="1">
      <c r="A18" s="1"/>
      <c r="B18" s="15" t="s">
        <v>50</v>
      </c>
      <c r="C18" s="5" t="s">
        <v>51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52" customHeight="1">
      <c r="A19" s="1"/>
      <c r="B19" s="15" t="s">
        <v>52</v>
      </c>
      <c r="C19" s="5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2" customHeight="1">
      <c r="A20" s="1"/>
      <c r="B20" s="15" t="s">
        <v>54</v>
      </c>
      <c r="C20" s="5" t="s">
        <v>55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52" customHeight="1">
      <c r="A21" s="1"/>
      <c r="B21" s="15" t="s">
        <v>56</v>
      </c>
      <c r="C21" s="5" t="s">
        <v>57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52" customHeight="1">
      <c r="A22" s="1"/>
      <c r="B22" s="15" t="s">
        <v>58</v>
      </c>
      <c r="C22" s="5" t="s">
        <v>59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52" customHeight="1">
      <c r="A23" s="1"/>
      <c r="B23" s="15" t="s">
        <v>60</v>
      </c>
      <c r="C23" s="5" t="s">
        <v>61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52" customHeight="1">
      <c r="A24" s="1"/>
      <c r="B24" s="15" t="s">
        <v>62</v>
      </c>
      <c r="C24" s="5" t="s">
        <v>63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showGridLines="0" zoomScale="55" zoomScaleNormal="55" workbookViewId="0">
      <pane xSplit="2" ySplit="6" topLeftCell="C7" activePane="bottomRight" state="frozen"/>
      <selection pane="topRight"/>
      <selection pane="bottomLeft"/>
      <selection pane="bottomRight" activeCell="C7" sqref="C7:C29"/>
    </sheetView>
  </sheetViews>
  <sheetFormatPr defaultRowHeight="13.8"/>
  <cols>
    <col min="1" max="1" width="8" customWidth="1"/>
    <col min="2" max="2" width="30" customWidth="1"/>
    <col min="3" max="3" width="40" customWidth="1"/>
    <col min="4" max="5" width="14" customWidth="1"/>
    <col min="6" max="6" width="16" customWidth="1"/>
    <col min="7" max="7" width="58" customWidth="1"/>
    <col min="8" max="8" width="52" customWidth="1"/>
    <col min="9" max="9" width="36" customWidth="1"/>
    <col min="10" max="10" width="42" customWidth="1"/>
    <col min="11" max="11" width="26" customWidth="1"/>
    <col min="12" max="12" width="6" customWidth="1"/>
    <col min="13" max="15" width="65" customWidth="1"/>
  </cols>
  <sheetData>
    <row r="1" spans="1:23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" customHeight="1">
      <c r="A2" s="2" t="s">
        <v>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</row>
    <row r="4" spans="1:23">
      <c r="A4" s="4" t="s">
        <v>65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6" customHeight="1">
      <c r="A6" s="6" t="s">
        <v>2</v>
      </c>
      <c r="B6" s="6" t="s">
        <v>66</v>
      </c>
      <c r="C6" s="6" t="s">
        <v>67</v>
      </c>
      <c r="D6" s="6" t="s">
        <v>68</v>
      </c>
      <c r="E6" s="6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  <c r="K6" s="6" t="s">
        <v>75</v>
      </c>
      <c r="L6" s="6" t="s">
        <v>76</v>
      </c>
      <c r="M6" s="10" t="s">
        <v>77</v>
      </c>
      <c r="N6" s="10" t="s">
        <v>78</v>
      </c>
      <c r="O6" s="10" t="s">
        <v>79</v>
      </c>
      <c r="P6" s="1"/>
      <c r="Q6" s="1"/>
      <c r="R6" s="1"/>
      <c r="S6" s="1"/>
      <c r="T6" s="1"/>
      <c r="U6" s="1"/>
      <c r="V6" s="1"/>
      <c r="W6" s="1"/>
    </row>
    <row r="7" spans="1:23" ht="46" customHeight="1">
      <c r="A7" s="5" t="s">
        <v>8</v>
      </c>
      <c r="B7" s="5" t="s">
        <v>9</v>
      </c>
      <c r="C7" s="5" t="s">
        <v>80</v>
      </c>
      <c r="D7" s="8">
        <v>700</v>
      </c>
      <c r="E7" s="8"/>
      <c r="F7" s="8"/>
      <c r="G7" s="5" t="s">
        <v>12</v>
      </c>
      <c r="H7" s="5" t="s">
        <v>81</v>
      </c>
      <c r="I7" s="5" t="s">
        <v>13</v>
      </c>
      <c r="J7" s="5" t="s">
        <v>82</v>
      </c>
      <c r="K7" s="5" t="s">
        <v>83</v>
      </c>
      <c r="L7" s="5"/>
      <c r="M7" s="11" t="s">
        <v>84</v>
      </c>
      <c r="N7" s="11" t="s">
        <v>85</v>
      </c>
      <c r="O7" s="11"/>
      <c r="P7" s="1"/>
      <c r="Q7" s="1"/>
      <c r="R7" s="1"/>
      <c r="S7" s="1"/>
      <c r="T7" s="1"/>
      <c r="U7" s="1"/>
      <c r="V7" s="1"/>
      <c r="W7" s="1"/>
    </row>
    <row r="8" spans="1:23" ht="55" customHeight="1">
      <c r="A8" s="7" t="s">
        <v>14</v>
      </c>
      <c r="B8" s="7" t="s">
        <v>15</v>
      </c>
      <c r="C8" s="7" t="s">
        <v>86</v>
      </c>
      <c r="D8" s="9"/>
      <c r="E8" s="9"/>
      <c r="F8" s="9">
        <v>2400</v>
      </c>
      <c r="G8" s="7" t="s">
        <v>18</v>
      </c>
      <c r="H8" s="7" t="s">
        <v>87</v>
      </c>
      <c r="I8" s="7" t="s">
        <v>19</v>
      </c>
      <c r="J8" s="7" t="s">
        <v>88</v>
      </c>
      <c r="K8" s="7" t="s">
        <v>83</v>
      </c>
      <c r="L8" s="7"/>
      <c r="M8" s="12" t="s">
        <v>89</v>
      </c>
      <c r="N8" s="12" t="s">
        <v>90</v>
      </c>
      <c r="O8" s="12" t="s">
        <v>91</v>
      </c>
      <c r="P8" s="1"/>
      <c r="Q8" s="1"/>
      <c r="R8" s="1"/>
      <c r="S8" s="1"/>
      <c r="T8" s="1"/>
      <c r="U8" s="1"/>
      <c r="V8" s="1"/>
      <c r="W8" s="1"/>
    </row>
    <row r="9" spans="1:23" ht="46" customHeight="1">
      <c r="A9" s="5" t="s">
        <v>20</v>
      </c>
      <c r="B9" s="5" t="s">
        <v>21</v>
      </c>
      <c r="C9" s="5" t="s">
        <v>92</v>
      </c>
      <c r="D9" s="8">
        <v>550</v>
      </c>
      <c r="E9" s="8"/>
      <c r="F9" s="8">
        <v>1500</v>
      </c>
      <c r="G9" s="5" t="s">
        <v>24</v>
      </c>
      <c r="H9" s="5" t="s">
        <v>93</v>
      </c>
      <c r="I9" s="5" t="s">
        <v>25</v>
      </c>
      <c r="J9" s="5" t="s">
        <v>94</v>
      </c>
      <c r="K9" s="5" t="s">
        <v>83</v>
      </c>
      <c r="L9" s="5"/>
      <c r="M9" s="11" t="s">
        <v>95</v>
      </c>
      <c r="N9" s="11" t="s">
        <v>96</v>
      </c>
      <c r="O9" s="11"/>
      <c r="P9" s="1"/>
      <c r="Q9" s="1"/>
      <c r="R9" s="1"/>
      <c r="S9" s="1"/>
      <c r="T9" s="1"/>
      <c r="U9" s="1"/>
      <c r="V9" s="1"/>
      <c r="W9" s="1"/>
    </row>
    <row r="10" spans="1:23" ht="46" customHeight="1">
      <c r="A10" s="7" t="s">
        <v>26</v>
      </c>
      <c r="B10" s="7" t="s">
        <v>27</v>
      </c>
      <c r="C10" s="7" t="s">
        <v>97</v>
      </c>
      <c r="D10" s="9">
        <v>650</v>
      </c>
      <c r="E10" s="9"/>
      <c r="F10" s="9"/>
      <c r="G10" s="7" t="s">
        <v>30</v>
      </c>
      <c r="H10" s="7" t="s">
        <v>98</v>
      </c>
      <c r="I10" s="7" t="s">
        <v>31</v>
      </c>
      <c r="J10" s="7" t="s">
        <v>99</v>
      </c>
      <c r="K10" s="7" t="s">
        <v>83</v>
      </c>
      <c r="L10" s="7"/>
      <c r="M10" s="12" t="s">
        <v>99</v>
      </c>
      <c r="N10" s="12" t="s">
        <v>100</v>
      </c>
      <c r="O10" s="12"/>
      <c r="P10" s="1"/>
      <c r="Q10" s="1"/>
      <c r="R10" s="1"/>
      <c r="S10" s="1"/>
      <c r="T10" s="1"/>
      <c r="U10" s="1"/>
      <c r="V10" s="1"/>
      <c r="W10" s="1"/>
    </row>
    <row r="11" spans="1:23" ht="46" customHeight="1">
      <c r="A11" s="5" t="s">
        <v>32</v>
      </c>
      <c r="B11" s="5" t="s">
        <v>33</v>
      </c>
      <c r="C11" s="5" t="s">
        <v>101</v>
      </c>
      <c r="D11" s="8">
        <v>600</v>
      </c>
      <c r="E11" s="8"/>
      <c r="F11" s="8">
        <v>2400</v>
      </c>
      <c r="G11" s="5" t="s">
        <v>36</v>
      </c>
      <c r="H11" s="5" t="s">
        <v>102</v>
      </c>
      <c r="I11" s="5" t="s">
        <v>37</v>
      </c>
      <c r="J11" s="5" t="s">
        <v>103</v>
      </c>
      <c r="K11" s="5" t="s">
        <v>83</v>
      </c>
      <c r="L11" s="5"/>
      <c r="M11" s="11" t="s">
        <v>103</v>
      </c>
      <c r="N11" s="11" t="s">
        <v>104</v>
      </c>
      <c r="O11" s="11"/>
      <c r="P11" s="1"/>
      <c r="Q11" s="1"/>
      <c r="R11" s="1"/>
      <c r="S11" s="1"/>
      <c r="T11" s="1"/>
      <c r="U11" s="1"/>
      <c r="V11" s="1"/>
      <c r="W11" s="1"/>
    </row>
    <row r="12" spans="1:23" ht="46" customHeight="1">
      <c r="A12" s="7" t="s">
        <v>38</v>
      </c>
      <c r="B12" s="7" t="s">
        <v>39</v>
      </c>
      <c r="C12" s="7" t="s">
        <v>105</v>
      </c>
      <c r="D12" s="9">
        <v>700</v>
      </c>
      <c r="E12" s="9">
        <f>2*650</f>
        <v>1300</v>
      </c>
      <c r="F12" s="9"/>
      <c r="G12" s="7" t="s">
        <v>42</v>
      </c>
      <c r="H12" s="7" t="s">
        <v>106</v>
      </c>
      <c r="I12" s="7" t="s">
        <v>43</v>
      </c>
      <c r="J12" s="7" t="s">
        <v>107</v>
      </c>
      <c r="K12" s="7" t="s">
        <v>83</v>
      </c>
      <c r="L12" s="7"/>
      <c r="M12" s="12" t="s">
        <v>108</v>
      </c>
      <c r="N12" s="12" t="s">
        <v>109</v>
      </c>
      <c r="O12" s="12"/>
      <c r="P12" s="1"/>
      <c r="Q12" s="1"/>
      <c r="R12" s="1"/>
      <c r="S12" s="1"/>
      <c r="T12" s="1"/>
      <c r="U12" s="1"/>
      <c r="V12" s="1"/>
      <c r="W12" s="1"/>
    </row>
    <row r="13" spans="1:23" ht="55" customHeight="1">
      <c r="A13" s="5" t="s">
        <v>110</v>
      </c>
      <c r="B13" s="5" t="s">
        <v>111</v>
      </c>
      <c r="C13" s="5" t="s">
        <v>112</v>
      </c>
      <c r="D13" s="8">
        <v>750</v>
      </c>
      <c r="E13" s="8"/>
      <c r="F13" s="8">
        <v>2750</v>
      </c>
      <c r="G13" s="5" t="s">
        <v>113</v>
      </c>
      <c r="H13" s="5" t="s">
        <v>114</v>
      </c>
      <c r="I13" s="5" t="s">
        <v>115</v>
      </c>
      <c r="J13" s="5" t="s">
        <v>116</v>
      </c>
      <c r="K13" s="5" t="s">
        <v>117</v>
      </c>
      <c r="L13" s="5"/>
      <c r="M13" s="11" t="s">
        <v>118</v>
      </c>
      <c r="N13" s="11" t="s">
        <v>119</v>
      </c>
      <c r="O13" s="11"/>
      <c r="P13" s="1"/>
      <c r="Q13" s="1"/>
      <c r="R13" s="1"/>
      <c r="S13" s="1"/>
      <c r="T13" s="1"/>
      <c r="U13" s="1"/>
      <c r="V13" s="1"/>
      <c r="W13" s="1"/>
    </row>
    <row r="14" spans="1:23" ht="55" customHeight="1">
      <c r="A14" s="7" t="s">
        <v>120</v>
      </c>
      <c r="B14" s="7" t="s">
        <v>121</v>
      </c>
      <c r="C14" s="7" t="s">
        <v>122</v>
      </c>
      <c r="D14" s="9">
        <v>700</v>
      </c>
      <c r="E14" s="9">
        <v>1200</v>
      </c>
      <c r="F14" s="9">
        <v>2800</v>
      </c>
      <c r="G14" s="7" t="s">
        <v>123</v>
      </c>
      <c r="H14" s="7" t="s">
        <v>124</v>
      </c>
      <c r="I14" s="7" t="s">
        <v>125</v>
      </c>
      <c r="J14" s="7" t="s">
        <v>126</v>
      </c>
      <c r="K14" s="7" t="s">
        <v>127</v>
      </c>
      <c r="L14" s="7"/>
      <c r="M14" s="12" t="s">
        <v>128</v>
      </c>
      <c r="N14" s="12" t="s">
        <v>126</v>
      </c>
      <c r="O14" s="12"/>
      <c r="P14" s="1"/>
      <c r="Q14" s="1"/>
      <c r="R14" s="1"/>
      <c r="S14" s="1"/>
      <c r="T14" s="1"/>
      <c r="U14" s="1"/>
      <c r="V14" s="1"/>
      <c r="W14" s="1"/>
    </row>
    <row r="15" spans="1:23" ht="46" customHeight="1">
      <c r="A15" s="5" t="s">
        <v>129</v>
      </c>
      <c r="B15" s="5" t="s">
        <v>130</v>
      </c>
      <c r="C15" s="5" t="s">
        <v>131</v>
      </c>
      <c r="D15" s="8"/>
      <c r="E15" s="8"/>
      <c r="F15" s="8"/>
      <c r="G15" s="5" t="s">
        <v>132</v>
      </c>
      <c r="H15" s="5" t="s">
        <v>133</v>
      </c>
      <c r="I15" s="5" t="s">
        <v>134</v>
      </c>
      <c r="J15" s="5" t="s">
        <v>135</v>
      </c>
      <c r="K15" s="5" t="s">
        <v>127</v>
      </c>
      <c r="L15" s="5"/>
      <c r="M15" s="11" t="s">
        <v>136</v>
      </c>
      <c r="N15" s="11" t="s">
        <v>119</v>
      </c>
      <c r="O15" s="11"/>
      <c r="P15" s="1"/>
      <c r="Q15" s="1"/>
      <c r="R15" s="1"/>
      <c r="S15" s="1"/>
      <c r="T15" s="1"/>
      <c r="U15" s="1"/>
      <c r="V15" s="1"/>
      <c r="W15" s="1"/>
    </row>
    <row r="16" spans="1:23" ht="46" customHeight="1">
      <c r="A16" s="7" t="s">
        <v>137</v>
      </c>
      <c r="B16" s="7" t="s">
        <v>138</v>
      </c>
      <c r="C16" s="7" t="s">
        <v>139</v>
      </c>
      <c r="D16" s="9"/>
      <c r="E16" s="9"/>
      <c r="F16" s="9"/>
      <c r="G16" s="7" t="s">
        <v>136</v>
      </c>
      <c r="H16" s="7" t="s">
        <v>140</v>
      </c>
      <c r="I16" s="7" t="s">
        <v>141</v>
      </c>
      <c r="J16" s="7" t="s">
        <v>142</v>
      </c>
      <c r="K16" s="7" t="s">
        <v>117</v>
      </c>
      <c r="L16" s="7"/>
      <c r="M16" s="12" t="s">
        <v>136</v>
      </c>
      <c r="N16" s="12" t="s">
        <v>119</v>
      </c>
      <c r="O16" s="12"/>
      <c r="P16" s="1"/>
      <c r="Q16" s="1"/>
      <c r="R16" s="1"/>
      <c r="S16" s="1"/>
      <c r="T16" s="1"/>
      <c r="U16" s="1"/>
      <c r="V16" s="1"/>
      <c r="W16" s="1"/>
    </row>
    <row r="17" spans="1:23" ht="46" customHeight="1">
      <c r="A17" s="5" t="s">
        <v>143</v>
      </c>
      <c r="B17" s="5" t="s">
        <v>144</v>
      </c>
      <c r="C17" s="5" t="s">
        <v>145</v>
      </c>
      <c r="D17" s="8"/>
      <c r="E17" s="8"/>
      <c r="F17" s="8"/>
      <c r="G17" s="5" t="s">
        <v>136</v>
      </c>
      <c r="H17" s="5" t="s">
        <v>140</v>
      </c>
      <c r="I17" s="5" t="s">
        <v>146</v>
      </c>
      <c r="J17" s="5" t="s">
        <v>142</v>
      </c>
      <c r="K17" s="5" t="s">
        <v>117</v>
      </c>
      <c r="L17" s="5"/>
      <c r="M17" s="11" t="s">
        <v>136</v>
      </c>
      <c r="N17" s="11" t="s">
        <v>119</v>
      </c>
      <c r="O17" s="11"/>
      <c r="P17" s="1"/>
      <c r="Q17" s="1"/>
      <c r="R17" s="1"/>
      <c r="S17" s="1"/>
      <c r="T17" s="1"/>
      <c r="U17" s="1"/>
      <c r="V17" s="1"/>
      <c r="W17" s="1"/>
    </row>
    <row r="18" spans="1:23" ht="46" customHeight="1">
      <c r="A18" s="7" t="s">
        <v>147</v>
      </c>
      <c r="B18" s="7" t="s">
        <v>148</v>
      </c>
      <c r="C18" s="7" t="s">
        <v>149</v>
      </c>
      <c r="D18" s="9"/>
      <c r="E18" s="9"/>
      <c r="F18" s="9"/>
      <c r="G18" s="7" t="s">
        <v>150</v>
      </c>
      <c r="H18" s="7" t="s">
        <v>151</v>
      </c>
      <c r="I18" s="7" t="s">
        <v>152</v>
      </c>
      <c r="J18" s="7" t="s">
        <v>142</v>
      </c>
      <c r="K18" s="7" t="s">
        <v>153</v>
      </c>
      <c r="L18" s="7"/>
      <c r="M18" s="12" t="s">
        <v>136</v>
      </c>
      <c r="N18" s="12" t="s">
        <v>119</v>
      </c>
      <c r="O18" s="12" t="s">
        <v>91</v>
      </c>
      <c r="P18" s="1"/>
      <c r="Q18" s="1"/>
      <c r="R18" s="1"/>
      <c r="S18" s="1"/>
      <c r="T18" s="1"/>
      <c r="U18" s="1"/>
      <c r="V18" s="1"/>
      <c r="W18" s="1"/>
    </row>
    <row r="19" spans="1:23" ht="46" customHeight="1">
      <c r="A19" s="5" t="s">
        <v>154</v>
      </c>
      <c r="B19" s="5" t="s">
        <v>155</v>
      </c>
      <c r="C19" s="5" t="s">
        <v>156</v>
      </c>
      <c r="D19" s="8"/>
      <c r="E19" s="8"/>
      <c r="F19" s="8"/>
      <c r="G19" s="5" t="s">
        <v>136</v>
      </c>
      <c r="H19" s="5" t="s">
        <v>157</v>
      </c>
      <c r="I19" s="5" t="s">
        <v>158</v>
      </c>
      <c r="J19" s="5" t="s">
        <v>159</v>
      </c>
      <c r="K19" s="5" t="s">
        <v>117</v>
      </c>
      <c r="L19" s="5"/>
      <c r="M19" s="11" t="s">
        <v>136</v>
      </c>
      <c r="N19" s="11" t="s">
        <v>119</v>
      </c>
      <c r="O19" s="11"/>
      <c r="P19" s="1"/>
      <c r="Q19" s="1"/>
      <c r="R19" s="1"/>
      <c r="S19" s="1"/>
      <c r="T19" s="1"/>
      <c r="U19" s="1"/>
      <c r="V19" s="1"/>
      <c r="W19" s="1"/>
    </row>
    <row r="20" spans="1:23" ht="46" customHeight="1">
      <c r="A20" s="7" t="s">
        <v>160</v>
      </c>
      <c r="B20" s="7" t="s">
        <v>161</v>
      </c>
      <c r="C20" s="7" t="s">
        <v>162</v>
      </c>
      <c r="D20" s="9"/>
      <c r="E20" s="9"/>
      <c r="F20" s="9"/>
      <c r="G20" s="7" t="s">
        <v>136</v>
      </c>
      <c r="H20" s="7" t="s">
        <v>157</v>
      </c>
      <c r="I20" s="7" t="s">
        <v>163</v>
      </c>
      <c r="J20" s="7" t="s">
        <v>142</v>
      </c>
      <c r="K20" s="7" t="s">
        <v>117</v>
      </c>
      <c r="L20" s="7"/>
      <c r="M20" s="12" t="s">
        <v>136</v>
      </c>
      <c r="N20" s="12" t="s">
        <v>119</v>
      </c>
      <c r="O20" s="12"/>
      <c r="P20" s="1"/>
      <c r="Q20" s="1"/>
      <c r="R20" s="1"/>
      <c r="S20" s="1"/>
      <c r="T20" s="1"/>
      <c r="U20" s="1"/>
      <c r="V20" s="1"/>
      <c r="W20" s="1"/>
    </row>
    <row r="21" spans="1:23" ht="46" customHeight="1">
      <c r="A21" s="5" t="s">
        <v>164</v>
      </c>
      <c r="B21" s="5" t="s">
        <v>165</v>
      </c>
      <c r="C21" s="5" t="s">
        <v>166</v>
      </c>
      <c r="D21" s="8"/>
      <c r="E21" s="8"/>
      <c r="F21" s="8"/>
      <c r="G21" s="5" t="s">
        <v>136</v>
      </c>
      <c r="H21" s="5" t="s">
        <v>157</v>
      </c>
      <c r="I21" s="5" t="s">
        <v>167</v>
      </c>
      <c r="J21" s="5" t="s">
        <v>142</v>
      </c>
      <c r="K21" s="5" t="s">
        <v>117</v>
      </c>
      <c r="L21" s="5"/>
      <c r="M21" s="11" t="s">
        <v>136</v>
      </c>
      <c r="N21" s="11" t="s">
        <v>119</v>
      </c>
      <c r="O21" s="11"/>
      <c r="P21" s="1"/>
      <c r="Q21" s="1"/>
      <c r="R21" s="1"/>
      <c r="S21" s="1"/>
      <c r="T21" s="1"/>
      <c r="U21" s="1"/>
      <c r="V21" s="1"/>
      <c r="W21" s="1"/>
    </row>
    <row r="22" spans="1:23" ht="55" customHeight="1">
      <c r="A22" s="7" t="s">
        <v>168</v>
      </c>
      <c r="B22" s="7" t="s">
        <v>169</v>
      </c>
      <c r="C22" s="7" t="s">
        <v>170</v>
      </c>
      <c r="D22" s="9">
        <v>700</v>
      </c>
      <c r="E22" s="9"/>
      <c r="F22" s="9">
        <v>2500</v>
      </c>
      <c r="G22" s="7" t="s">
        <v>171</v>
      </c>
      <c r="H22" s="7" t="s">
        <v>172</v>
      </c>
      <c r="I22" s="7" t="s">
        <v>173</v>
      </c>
      <c r="J22" s="7" t="s">
        <v>174</v>
      </c>
      <c r="K22" s="7" t="s">
        <v>175</v>
      </c>
      <c r="L22" s="7"/>
      <c r="M22" s="12" t="s">
        <v>176</v>
      </c>
      <c r="N22" s="12" t="s">
        <v>119</v>
      </c>
      <c r="O22" s="12"/>
      <c r="P22" s="1"/>
      <c r="Q22" s="1"/>
      <c r="R22" s="1"/>
      <c r="S22" s="1"/>
      <c r="T22" s="1"/>
      <c r="U22" s="1"/>
      <c r="V22" s="1"/>
      <c r="W22" s="1"/>
    </row>
    <row r="23" spans="1:23" ht="55" customHeight="1">
      <c r="A23" s="5" t="s">
        <v>177</v>
      </c>
      <c r="B23" s="5" t="s">
        <v>178</v>
      </c>
      <c r="C23" s="5" t="s">
        <v>179</v>
      </c>
      <c r="D23" s="8"/>
      <c r="E23" s="8"/>
      <c r="F23" s="8"/>
      <c r="G23" s="5" t="s">
        <v>180</v>
      </c>
      <c r="H23" s="5" t="s">
        <v>181</v>
      </c>
      <c r="I23" s="5" t="s">
        <v>182</v>
      </c>
      <c r="J23" s="5" t="s">
        <v>183</v>
      </c>
      <c r="K23" s="5" t="s">
        <v>184</v>
      </c>
      <c r="L23" s="5"/>
      <c r="M23" s="11" t="s">
        <v>136</v>
      </c>
      <c r="N23" s="11" t="s">
        <v>185</v>
      </c>
      <c r="O23" s="11"/>
      <c r="P23" s="1"/>
      <c r="Q23" s="1"/>
      <c r="R23" s="1"/>
      <c r="S23" s="1"/>
      <c r="T23" s="1"/>
      <c r="U23" s="1"/>
      <c r="V23" s="1"/>
      <c r="W23" s="1"/>
    </row>
    <row r="24" spans="1:23" ht="46" customHeight="1">
      <c r="A24" s="7" t="s">
        <v>186</v>
      </c>
      <c r="B24" s="7" t="s">
        <v>187</v>
      </c>
      <c r="C24" s="7" t="s">
        <v>188</v>
      </c>
      <c r="D24" s="9">
        <v>450</v>
      </c>
      <c r="E24" s="9">
        <f>2*400</f>
        <v>800</v>
      </c>
      <c r="F24" s="9">
        <v>1400</v>
      </c>
      <c r="G24" s="7" t="s">
        <v>189</v>
      </c>
      <c r="H24" s="7" t="s">
        <v>190</v>
      </c>
      <c r="I24" s="7" t="s">
        <v>191</v>
      </c>
      <c r="J24" s="7" t="s">
        <v>192</v>
      </c>
      <c r="K24" s="7" t="s">
        <v>193</v>
      </c>
      <c r="L24" s="7"/>
      <c r="M24" s="12" t="s">
        <v>194</v>
      </c>
      <c r="N24" s="12" t="s">
        <v>194</v>
      </c>
      <c r="O24" s="12"/>
      <c r="P24" s="1"/>
      <c r="Q24" s="1"/>
      <c r="R24" s="1"/>
      <c r="S24" s="1"/>
      <c r="T24" s="1"/>
      <c r="U24" s="1"/>
      <c r="V24" s="1"/>
      <c r="W24" s="1"/>
    </row>
    <row r="25" spans="1:23" ht="46" customHeight="1">
      <c r="A25" s="5" t="s">
        <v>195</v>
      </c>
      <c r="B25" s="5" t="s">
        <v>196</v>
      </c>
      <c r="C25" s="5" t="s">
        <v>197</v>
      </c>
      <c r="D25" s="8"/>
      <c r="E25" s="8"/>
      <c r="F25" s="8"/>
      <c r="G25" s="5" t="s">
        <v>198</v>
      </c>
      <c r="H25" s="5" t="s">
        <v>199</v>
      </c>
      <c r="I25" s="5" t="s">
        <v>200</v>
      </c>
      <c r="J25" s="5" t="s">
        <v>201</v>
      </c>
      <c r="K25" s="5" t="s">
        <v>193</v>
      </c>
      <c r="L25" s="5"/>
      <c r="M25" s="11" t="s">
        <v>201</v>
      </c>
      <c r="N25" s="11" t="s">
        <v>202</v>
      </c>
      <c r="O25" s="11"/>
      <c r="P25" s="1"/>
      <c r="Q25" s="1"/>
      <c r="R25" s="1"/>
      <c r="S25" s="1"/>
      <c r="T25" s="1"/>
      <c r="U25" s="1"/>
      <c r="V25" s="1"/>
      <c r="W25" s="1"/>
    </row>
    <row r="26" spans="1:23" ht="46" customHeight="1">
      <c r="A26" s="7" t="s">
        <v>203</v>
      </c>
      <c r="B26" s="7" t="s">
        <v>204</v>
      </c>
      <c r="C26" s="7" t="s">
        <v>205</v>
      </c>
      <c r="D26" s="9">
        <v>850</v>
      </c>
      <c r="E26" s="9">
        <v>1700</v>
      </c>
      <c r="F26" s="9"/>
      <c r="G26" s="7" t="s">
        <v>206</v>
      </c>
      <c r="H26" s="7" t="s">
        <v>207</v>
      </c>
      <c r="I26" s="7" t="s">
        <v>208</v>
      </c>
      <c r="J26" s="7" t="s">
        <v>209</v>
      </c>
      <c r="K26" s="7" t="s">
        <v>193</v>
      </c>
      <c r="L26" s="7"/>
      <c r="M26" s="12" t="s">
        <v>210</v>
      </c>
      <c r="N26" s="12" t="s">
        <v>210</v>
      </c>
      <c r="O26" s="12"/>
      <c r="P26" s="1"/>
      <c r="Q26" s="1"/>
      <c r="R26" s="1"/>
      <c r="S26" s="1"/>
      <c r="T26" s="1"/>
      <c r="U26" s="1"/>
      <c r="V26" s="1"/>
      <c r="W26" s="1"/>
    </row>
    <row r="27" spans="1:23" ht="46" customHeight="1">
      <c r="A27" s="5" t="s">
        <v>211</v>
      </c>
      <c r="B27" s="5" t="s">
        <v>212</v>
      </c>
      <c r="C27" s="5" t="s">
        <v>213</v>
      </c>
      <c r="D27" s="8">
        <v>750</v>
      </c>
      <c r="E27" s="8"/>
      <c r="F27" s="8"/>
      <c r="G27" s="5" t="s">
        <v>214</v>
      </c>
      <c r="H27" s="5" t="s">
        <v>215</v>
      </c>
      <c r="I27" s="5" t="s">
        <v>216</v>
      </c>
      <c r="J27" s="5" t="s">
        <v>142</v>
      </c>
      <c r="K27" s="5" t="s">
        <v>217</v>
      </c>
      <c r="L27" s="5"/>
      <c r="M27" s="11" t="s">
        <v>84</v>
      </c>
      <c r="N27" s="11" t="s">
        <v>218</v>
      </c>
      <c r="O27" s="11"/>
      <c r="P27" s="1"/>
      <c r="Q27" s="1"/>
      <c r="R27" s="1"/>
      <c r="S27" s="1"/>
      <c r="T27" s="1"/>
      <c r="U27" s="1"/>
      <c r="V27" s="1"/>
      <c r="W27" s="1"/>
    </row>
    <row r="28" spans="1:23" ht="46" customHeight="1">
      <c r="A28" s="7" t="s">
        <v>219</v>
      </c>
      <c r="B28" s="7" t="s">
        <v>220</v>
      </c>
      <c r="C28" s="7" t="s">
        <v>221</v>
      </c>
      <c r="D28" s="9">
        <v>900</v>
      </c>
      <c r="E28" s="9"/>
      <c r="F28" s="9"/>
      <c r="G28" s="7" t="s">
        <v>222</v>
      </c>
      <c r="H28" s="7" t="s">
        <v>223</v>
      </c>
      <c r="I28" s="7" t="s">
        <v>224</v>
      </c>
      <c r="J28" s="7" t="s">
        <v>142</v>
      </c>
      <c r="K28" s="7" t="s">
        <v>175</v>
      </c>
      <c r="L28" s="7"/>
      <c r="M28" s="12" t="s">
        <v>225</v>
      </c>
      <c r="N28" s="12" t="s">
        <v>225</v>
      </c>
      <c r="O28" s="12"/>
      <c r="P28" s="1"/>
      <c r="Q28" s="1"/>
      <c r="R28" s="1"/>
      <c r="S28" s="1"/>
      <c r="T28" s="1"/>
      <c r="U28" s="1"/>
      <c r="V28" s="1"/>
      <c r="W28" s="1"/>
    </row>
    <row r="29" spans="1:23" ht="55" customHeight="1">
      <c r="A29" s="5" t="s">
        <v>226</v>
      </c>
      <c r="B29" s="5" t="s">
        <v>227</v>
      </c>
      <c r="C29" s="5" t="s">
        <v>228</v>
      </c>
      <c r="D29" s="8">
        <v>1000</v>
      </c>
      <c r="E29" s="8"/>
      <c r="F29" s="8">
        <v>3500</v>
      </c>
      <c r="G29" s="5" t="s">
        <v>229</v>
      </c>
      <c r="H29" s="5" t="s">
        <v>230</v>
      </c>
      <c r="I29" s="5" t="s">
        <v>231</v>
      </c>
      <c r="J29" s="5" t="s">
        <v>232</v>
      </c>
      <c r="K29" s="5" t="s">
        <v>193</v>
      </c>
      <c r="L29" s="5"/>
      <c r="M29" s="11" t="s">
        <v>84</v>
      </c>
      <c r="N29" s="11" t="s">
        <v>233</v>
      </c>
      <c r="O29" s="11" t="s">
        <v>234</v>
      </c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conditionalFormatting sqref="K7:K29">
    <cfRule type="containsText" dxfId="3" priority="1" operator="containsText" text="Стоп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showGridLines="0" zoomScale="55" zoomScaleNormal="55" workbookViewId="0">
      <pane xSplit="2" ySplit="6" topLeftCell="C7" activePane="bottomRight" state="frozen"/>
      <selection pane="topRight"/>
      <selection pane="bottomLeft"/>
      <selection pane="bottomRight" activeCell="E10" sqref="E10"/>
    </sheetView>
  </sheetViews>
  <sheetFormatPr defaultRowHeight="13.8"/>
  <cols>
    <col min="1" max="1" width="8" customWidth="1"/>
    <col min="2" max="2" width="30" customWidth="1"/>
    <col min="3" max="3" width="51" customWidth="1"/>
    <col min="4" max="4" width="27" customWidth="1"/>
    <col min="5" max="5" width="43" customWidth="1"/>
    <col min="6" max="6" width="24" customWidth="1"/>
    <col min="7" max="7" width="31" customWidth="1"/>
    <col min="8" max="8" width="65" customWidth="1"/>
    <col min="9" max="9" width="6" customWidth="1"/>
    <col min="10" max="11" width="65" customWidth="1"/>
  </cols>
  <sheetData>
    <row r="1" spans="1:23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" customHeight="1">
      <c r="A2" s="2" t="s">
        <v>235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4" t="s">
        <v>236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6" customHeight="1">
      <c r="A6" s="6" t="s">
        <v>2</v>
      </c>
      <c r="B6" s="6" t="s">
        <v>237</v>
      </c>
      <c r="C6" s="6" t="s">
        <v>238</v>
      </c>
      <c r="D6" s="6" t="s">
        <v>239</v>
      </c>
      <c r="E6" s="6" t="s">
        <v>240</v>
      </c>
      <c r="F6" s="6" t="s">
        <v>241</v>
      </c>
      <c r="G6" s="6" t="s">
        <v>242</v>
      </c>
      <c r="H6" s="6" t="s">
        <v>243</v>
      </c>
      <c r="I6" s="6" t="s">
        <v>76</v>
      </c>
      <c r="J6" s="6" t="s">
        <v>244</v>
      </c>
      <c r="K6" s="6" t="s">
        <v>245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6" customHeight="1">
      <c r="A7" s="5" t="s">
        <v>8</v>
      </c>
      <c r="B7" s="5" t="s">
        <v>9</v>
      </c>
      <c r="C7" s="5" t="s">
        <v>246</v>
      </c>
      <c r="D7" s="13" t="s">
        <v>247</v>
      </c>
      <c r="E7" s="13" t="s">
        <v>248</v>
      </c>
      <c r="F7" s="13" t="s">
        <v>249</v>
      </c>
      <c r="G7" s="5" t="s">
        <v>250</v>
      </c>
      <c r="H7" s="5" t="s">
        <v>251</v>
      </c>
      <c r="I7" s="5"/>
      <c r="J7" s="5" t="s">
        <v>85</v>
      </c>
      <c r="K7" s="5" t="s">
        <v>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6" customHeight="1">
      <c r="A8" s="7" t="s">
        <v>14</v>
      </c>
      <c r="B8" s="7" t="s">
        <v>15</v>
      </c>
      <c r="C8" s="7" t="s">
        <v>252</v>
      </c>
      <c r="D8" s="14" t="s">
        <v>253</v>
      </c>
      <c r="E8" s="14" t="s">
        <v>254</v>
      </c>
      <c r="F8" s="14" t="s">
        <v>255</v>
      </c>
      <c r="G8" s="7" t="s">
        <v>256</v>
      </c>
      <c r="H8" s="7" t="s">
        <v>257</v>
      </c>
      <c r="I8" s="7"/>
      <c r="J8" s="7" t="s">
        <v>258</v>
      </c>
      <c r="K8" s="7" t="s">
        <v>91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6" customHeight="1">
      <c r="A9" s="5" t="s">
        <v>20</v>
      </c>
      <c r="B9" s="5" t="s">
        <v>21</v>
      </c>
      <c r="C9" s="5" t="s">
        <v>259</v>
      </c>
      <c r="D9" s="13" t="s">
        <v>260</v>
      </c>
      <c r="E9" s="13" t="s">
        <v>261</v>
      </c>
      <c r="F9" s="13" t="s">
        <v>262</v>
      </c>
      <c r="G9" s="5" t="s">
        <v>263</v>
      </c>
      <c r="H9" s="5" t="s">
        <v>264</v>
      </c>
      <c r="I9" s="5"/>
      <c r="J9" s="5" t="s">
        <v>265</v>
      </c>
      <c r="K9" s="5" t="s">
        <v>96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6" customHeight="1">
      <c r="A10" s="7" t="s">
        <v>26</v>
      </c>
      <c r="B10" s="7" t="s">
        <v>27</v>
      </c>
      <c r="C10" s="7" t="s">
        <v>266</v>
      </c>
      <c r="D10" s="14" t="s">
        <v>267</v>
      </c>
      <c r="E10" s="14" t="s">
        <v>248</v>
      </c>
      <c r="F10" s="14" t="s">
        <v>268</v>
      </c>
      <c r="G10" s="7" t="s">
        <v>250</v>
      </c>
      <c r="H10" s="7" t="s">
        <v>269</v>
      </c>
      <c r="I10" s="7"/>
      <c r="J10" s="7" t="s">
        <v>270</v>
      </c>
      <c r="K10" s="7" t="s">
        <v>100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6" customHeight="1">
      <c r="A11" s="5" t="s">
        <v>32</v>
      </c>
      <c r="B11" s="5" t="s">
        <v>33</v>
      </c>
      <c r="C11" s="5" t="s">
        <v>271</v>
      </c>
      <c r="D11" s="13" t="s">
        <v>272</v>
      </c>
      <c r="E11" s="13" t="s">
        <v>248</v>
      </c>
      <c r="F11" s="13" t="s">
        <v>273</v>
      </c>
      <c r="G11" s="5" t="s">
        <v>250</v>
      </c>
      <c r="H11" s="5" t="s">
        <v>274</v>
      </c>
      <c r="I11" s="5"/>
      <c r="J11" s="5" t="s">
        <v>275</v>
      </c>
      <c r="K11" s="5" t="s">
        <v>104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6" customHeight="1">
      <c r="A12" s="7" t="s">
        <v>38</v>
      </c>
      <c r="B12" s="7" t="s">
        <v>39</v>
      </c>
      <c r="C12" s="7" t="s">
        <v>276</v>
      </c>
      <c r="D12" s="14" t="s">
        <v>277</v>
      </c>
      <c r="E12" s="14" t="s">
        <v>248</v>
      </c>
      <c r="F12" s="14" t="s">
        <v>278</v>
      </c>
      <c r="G12" s="7" t="s">
        <v>250</v>
      </c>
      <c r="H12" s="7" t="s">
        <v>279</v>
      </c>
      <c r="I12" s="7"/>
      <c r="J12" s="7" t="s">
        <v>280</v>
      </c>
      <c r="K12" s="7" t="s">
        <v>109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6" customHeight="1">
      <c r="A13" s="5" t="s">
        <v>110</v>
      </c>
      <c r="B13" s="5" t="s">
        <v>111</v>
      </c>
      <c r="C13" s="5" t="s">
        <v>281</v>
      </c>
      <c r="D13" s="13" t="s">
        <v>282</v>
      </c>
      <c r="E13" s="13" t="s">
        <v>283</v>
      </c>
      <c r="F13" s="13" t="s">
        <v>284</v>
      </c>
      <c r="G13" s="5" t="s">
        <v>250</v>
      </c>
      <c r="H13" s="5" t="s">
        <v>285</v>
      </c>
      <c r="I13" s="5"/>
      <c r="J13" s="5" t="s">
        <v>286</v>
      </c>
      <c r="K13" s="5" t="s">
        <v>119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6" customHeight="1">
      <c r="A14" s="7" t="s">
        <v>120</v>
      </c>
      <c r="B14" s="7" t="s">
        <v>121</v>
      </c>
      <c r="C14" s="7" t="s">
        <v>287</v>
      </c>
      <c r="D14" s="14" t="s">
        <v>288</v>
      </c>
      <c r="E14" s="14" t="s">
        <v>289</v>
      </c>
      <c r="F14" s="14" t="s">
        <v>290</v>
      </c>
      <c r="G14" s="7" t="s">
        <v>250</v>
      </c>
      <c r="H14" s="7" t="s">
        <v>291</v>
      </c>
      <c r="I14" s="7"/>
      <c r="J14" s="7" t="s">
        <v>292</v>
      </c>
      <c r="K14" s="7" t="s">
        <v>126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6" customHeight="1">
      <c r="A15" s="5" t="s">
        <v>129</v>
      </c>
      <c r="B15" s="5" t="s">
        <v>130</v>
      </c>
      <c r="C15" s="5" t="s">
        <v>293</v>
      </c>
      <c r="D15" s="13" t="s">
        <v>294</v>
      </c>
      <c r="E15" s="13" t="s">
        <v>295</v>
      </c>
      <c r="F15" s="13" t="s">
        <v>296</v>
      </c>
      <c r="G15" s="5" t="s">
        <v>250</v>
      </c>
      <c r="H15" s="5" t="s">
        <v>297</v>
      </c>
      <c r="I15" s="5"/>
      <c r="J15" s="5" t="s">
        <v>298</v>
      </c>
      <c r="K15" s="5" t="s">
        <v>119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6" customHeight="1">
      <c r="A16" s="7" t="s">
        <v>137</v>
      </c>
      <c r="B16" s="7" t="s">
        <v>138</v>
      </c>
      <c r="C16" s="7" t="s">
        <v>299</v>
      </c>
      <c r="D16" s="14" t="s">
        <v>300</v>
      </c>
      <c r="E16" s="14" t="s">
        <v>295</v>
      </c>
      <c r="F16" s="14" t="s">
        <v>301</v>
      </c>
      <c r="G16" s="7" t="s">
        <v>250</v>
      </c>
      <c r="H16" s="7" t="s">
        <v>302</v>
      </c>
      <c r="I16" s="7"/>
      <c r="J16" s="7" t="s">
        <v>303</v>
      </c>
      <c r="K16" s="7" t="s">
        <v>119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6" customHeight="1">
      <c r="A17" s="5" t="s">
        <v>143</v>
      </c>
      <c r="B17" s="5" t="s">
        <v>144</v>
      </c>
      <c r="C17" s="5" t="s">
        <v>304</v>
      </c>
      <c r="D17" s="13" t="s">
        <v>305</v>
      </c>
      <c r="E17" s="13" t="s">
        <v>295</v>
      </c>
      <c r="F17" s="13" t="s">
        <v>306</v>
      </c>
      <c r="G17" s="5" t="s">
        <v>250</v>
      </c>
      <c r="H17" s="5" t="s">
        <v>307</v>
      </c>
      <c r="I17" s="5"/>
      <c r="J17" s="5" t="s">
        <v>308</v>
      </c>
      <c r="K17" s="5" t="s">
        <v>119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6" customHeight="1">
      <c r="A18" s="7" t="s">
        <v>147</v>
      </c>
      <c r="B18" s="7" t="s">
        <v>148</v>
      </c>
      <c r="C18" s="7" t="s">
        <v>309</v>
      </c>
      <c r="D18" s="14" t="s">
        <v>310</v>
      </c>
      <c r="E18" s="14" t="s">
        <v>311</v>
      </c>
      <c r="F18" s="14" t="s">
        <v>255</v>
      </c>
      <c r="G18" s="7" t="s">
        <v>250</v>
      </c>
      <c r="H18" s="7" t="s">
        <v>312</v>
      </c>
      <c r="I18" s="7"/>
      <c r="J18" s="7" t="s">
        <v>258</v>
      </c>
      <c r="K18" s="7" t="s">
        <v>91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6" customHeight="1">
      <c r="A19" s="5" t="s">
        <v>154</v>
      </c>
      <c r="B19" s="5" t="s">
        <v>155</v>
      </c>
      <c r="C19" s="5" t="s">
        <v>313</v>
      </c>
      <c r="D19" s="13" t="s">
        <v>314</v>
      </c>
      <c r="E19" s="13" t="s">
        <v>295</v>
      </c>
      <c r="F19" s="13" t="s">
        <v>315</v>
      </c>
      <c r="G19" s="5" t="s">
        <v>250</v>
      </c>
      <c r="H19" s="5" t="s">
        <v>316</v>
      </c>
      <c r="I19" s="5"/>
      <c r="J19" s="5" t="s">
        <v>317</v>
      </c>
      <c r="K19" s="5" t="s">
        <v>119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6" customHeight="1">
      <c r="A20" s="7" t="s">
        <v>160</v>
      </c>
      <c r="B20" s="7" t="s">
        <v>161</v>
      </c>
      <c r="C20" s="7" t="s">
        <v>318</v>
      </c>
      <c r="D20" s="14" t="s">
        <v>319</v>
      </c>
      <c r="E20" s="14" t="s">
        <v>295</v>
      </c>
      <c r="F20" s="14" t="s">
        <v>320</v>
      </c>
      <c r="G20" s="7" t="s">
        <v>250</v>
      </c>
      <c r="H20" s="7" t="s">
        <v>321</v>
      </c>
      <c r="I20" s="7"/>
      <c r="J20" s="7" t="s">
        <v>322</v>
      </c>
      <c r="K20" s="7" t="s">
        <v>119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6" customHeight="1">
      <c r="A21" s="5" t="s">
        <v>164</v>
      </c>
      <c r="B21" s="5" t="s">
        <v>165</v>
      </c>
      <c r="C21" s="5" t="s">
        <v>323</v>
      </c>
      <c r="D21" s="13" t="s">
        <v>324</v>
      </c>
      <c r="E21" s="13" t="s">
        <v>295</v>
      </c>
      <c r="F21" s="13" t="s">
        <v>325</v>
      </c>
      <c r="G21" s="5" t="s">
        <v>250</v>
      </c>
      <c r="H21" s="5" t="s">
        <v>326</v>
      </c>
      <c r="I21" s="5"/>
      <c r="J21" s="5" t="s">
        <v>327</v>
      </c>
      <c r="K21" s="5" t="s">
        <v>119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6" customHeight="1">
      <c r="A22" s="7" t="s">
        <v>168</v>
      </c>
      <c r="B22" s="7" t="s">
        <v>169</v>
      </c>
      <c r="C22" s="7" t="s">
        <v>328</v>
      </c>
      <c r="D22" s="14" t="s">
        <v>329</v>
      </c>
      <c r="E22" s="14" t="s">
        <v>330</v>
      </c>
      <c r="F22" s="14" t="s">
        <v>331</v>
      </c>
      <c r="G22" s="7" t="s">
        <v>332</v>
      </c>
      <c r="H22" s="7" t="s">
        <v>333</v>
      </c>
      <c r="I22" s="7"/>
      <c r="J22" s="7" t="s">
        <v>334</v>
      </c>
      <c r="K22" s="7" t="s">
        <v>119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46" customHeight="1">
      <c r="A23" s="5" t="s">
        <v>177</v>
      </c>
      <c r="B23" s="5" t="s">
        <v>178</v>
      </c>
      <c r="C23" s="5" t="s">
        <v>178</v>
      </c>
      <c r="D23" s="13" t="s">
        <v>335</v>
      </c>
      <c r="E23" s="13" t="s">
        <v>248</v>
      </c>
      <c r="F23" s="13" t="s">
        <v>336</v>
      </c>
      <c r="G23" s="5" t="s">
        <v>250</v>
      </c>
      <c r="H23" s="5" t="s">
        <v>337</v>
      </c>
      <c r="I23" s="5"/>
      <c r="J23" s="5" t="s">
        <v>338</v>
      </c>
      <c r="K23" s="5" t="s">
        <v>185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6" customHeight="1">
      <c r="A24" s="7" t="s">
        <v>186</v>
      </c>
      <c r="B24" s="7" t="s">
        <v>187</v>
      </c>
      <c r="C24" s="7" t="s">
        <v>339</v>
      </c>
      <c r="D24" s="14" t="s">
        <v>340</v>
      </c>
      <c r="E24" s="14" t="s">
        <v>341</v>
      </c>
      <c r="F24" s="14" t="s">
        <v>340</v>
      </c>
      <c r="G24" s="7" t="s">
        <v>342</v>
      </c>
      <c r="H24" s="7" t="s">
        <v>343</v>
      </c>
      <c r="I24" s="7"/>
      <c r="J24" s="7" t="s">
        <v>344</v>
      </c>
      <c r="K24" s="7" t="s">
        <v>194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46" customHeight="1">
      <c r="A25" s="5" t="s">
        <v>195</v>
      </c>
      <c r="B25" s="5" t="s">
        <v>196</v>
      </c>
      <c r="C25" s="5" t="s">
        <v>339</v>
      </c>
      <c r="D25" s="13" t="s">
        <v>340</v>
      </c>
      <c r="E25" s="13" t="s">
        <v>341</v>
      </c>
      <c r="F25" s="13" t="s">
        <v>340</v>
      </c>
      <c r="G25" s="5" t="s">
        <v>342</v>
      </c>
      <c r="H25" s="5" t="s">
        <v>345</v>
      </c>
      <c r="I25" s="5"/>
      <c r="J25" s="5" t="s">
        <v>344</v>
      </c>
      <c r="K25" s="5" t="s">
        <v>202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6" customHeight="1">
      <c r="A26" s="7" t="s">
        <v>203</v>
      </c>
      <c r="B26" s="7" t="s">
        <v>204</v>
      </c>
      <c r="C26" s="7" t="s">
        <v>346</v>
      </c>
      <c r="D26" s="14" t="s">
        <v>340</v>
      </c>
      <c r="E26" s="14" t="s">
        <v>341</v>
      </c>
      <c r="F26" s="14" t="s">
        <v>340</v>
      </c>
      <c r="G26" s="7" t="s">
        <v>342</v>
      </c>
      <c r="H26" s="7" t="s">
        <v>347</v>
      </c>
      <c r="I26" s="7"/>
      <c r="J26" s="7" t="s">
        <v>344</v>
      </c>
      <c r="K26" s="7" t="s">
        <v>210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46" customHeight="1">
      <c r="A27" s="5" t="s">
        <v>211</v>
      </c>
      <c r="B27" s="5" t="s">
        <v>212</v>
      </c>
      <c r="C27" s="5" t="s">
        <v>348</v>
      </c>
      <c r="D27" s="13" t="s">
        <v>349</v>
      </c>
      <c r="E27" s="13" t="s">
        <v>350</v>
      </c>
      <c r="F27" s="13" t="s">
        <v>351</v>
      </c>
      <c r="G27" s="5" t="s">
        <v>250</v>
      </c>
      <c r="H27" s="5" t="s">
        <v>352</v>
      </c>
      <c r="I27" s="5"/>
      <c r="J27" s="5" t="s">
        <v>353</v>
      </c>
      <c r="K27" s="5" t="s">
        <v>218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46" customHeight="1">
      <c r="A28" s="7" t="s">
        <v>219</v>
      </c>
      <c r="B28" s="7" t="s">
        <v>220</v>
      </c>
      <c r="C28" s="7" t="s">
        <v>354</v>
      </c>
      <c r="D28" s="14" t="s">
        <v>355</v>
      </c>
      <c r="E28" s="14" t="s">
        <v>356</v>
      </c>
      <c r="F28" s="14" t="s">
        <v>357</v>
      </c>
      <c r="G28" s="7" t="s">
        <v>358</v>
      </c>
      <c r="H28" s="7" t="s">
        <v>359</v>
      </c>
      <c r="I28" s="7"/>
      <c r="J28" s="7" t="s">
        <v>360</v>
      </c>
      <c r="K28" s="7" t="s">
        <v>225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46" customHeight="1">
      <c r="A29" s="5" t="s">
        <v>226</v>
      </c>
      <c r="B29" s="5" t="s">
        <v>227</v>
      </c>
      <c r="C29" s="5" t="s">
        <v>339</v>
      </c>
      <c r="D29" s="13" t="s">
        <v>340</v>
      </c>
      <c r="E29" s="13" t="s">
        <v>341</v>
      </c>
      <c r="F29" s="13" t="s">
        <v>340</v>
      </c>
      <c r="G29" s="5" t="s">
        <v>342</v>
      </c>
      <c r="H29" s="5" t="s">
        <v>361</v>
      </c>
      <c r="I29" s="5"/>
      <c r="J29" s="5" t="s">
        <v>344</v>
      </c>
      <c r="K29" s="5" t="s">
        <v>234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conditionalFormatting sqref="G7:G29">
    <cfRule type="containsText" dxfId="2" priority="1" operator="containsText" text="Приостановлен"/>
    <cfRule type="containsText" dxfId="1" priority="2" operator="containsText" text="Прекращен"/>
    <cfRule type="containsText" dxfId="0" priority="3" operator="containsText" text="Не проверено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718A"/>
  </sheetPr>
  <dimension ref="A1:W60"/>
  <sheetViews>
    <sheetView showGridLines="0" tabSelected="1" zoomScale="70" zoomScaleNormal="70" workbookViewId="0">
      <pane xSplit="2" ySplit="6" topLeftCell="C10" activePane="bottomRight" state="frozen"/>
      <selection pane="topRight"/>
      <selection pane="bottomLeft"/>
      <selection pane="bottomRight" activeCell="D2" sqref="D2"/>
    </sheetView>
  </sheetViews>
  <sheetFormatPr defaultRowHeight="13.8"/>
  <cols>
    <col min="1" max="1" width="8" customWidth="1"/>
    <col min="2" max="2" width="25" customWidth="1"/>
    <col min="3" max="3" width="43" customWidth="1"/>
    <col min="4" max="4" width="52" customWidth="1"/>
    <col min="5" max="5" width="42" customWidth="1"/>
    <col min="6" max="6" width="53" customWidth="1"/>
    <col min="7" max="7" width="50" customWidth="1"/>
    <col min="8" max="8" width="42" customWidth="1"/>
  </cols>
  <sheetData>
    <row r="1" spans="1:23" ht="22" customHeight="1">
      <c r="A1" s="1"/>
      <c r="B1" s="1"/>
      <c r="C1" s="1"/>
      <c r="D1" s="20" t="s">
        <v>527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" customHeight="1">
      <c r="A2" s="2" t="s">
        <v>362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2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4" t="s">
        <v>363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6" customHeight="1">
      <c r="A6" s="6" t="s">
        <v>364</v>
      </c>
      <c r="B6" s="6" t="s">
        <v>365</v>
      </c>
      <c r="C6" s="6" t="s">
        <v>366</v>
      </c>
      <c r="D6" s="6" t="s">
        <v>367</v>
      </c>
      <c r="E6" s="6" t="s">
        <v>368</v>
      </c>
      <c r="F6" s="6" t="s">
        <v>369</v>
      </c>
      <c r="G6" s="6" t="s">
        <v>370</v>
      </c>
      <c r="H6" s="6" t="s">
        <v>371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55" customHeight="1">
      <c r="A7" s="5">
        <v>1</v>
      </c>
      <c r="B7" s="5" t="s">
        <v>372</v>
      </c>
      <c r="C7" s="5" t="s">
        <v>373</v>
      </c>
      <c r="D7" s="5" t="s">
        <v>374</v>
      </c>
      <c r="E7" s="5" t="s">
        <v>375</v>
      </c>
      <c r="F7" s="5" t="s">
        <v>376</v>
      </c>
      <c r="G7" s="5" t="s">
        <v>377</v>
      </c>
      <c r="H7" s="5" t="s">
        <v>378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55" customHeight="1">
      <c r="A8" s="7">
        <v>2</v>
      </c>
      <c r="B8" s="7" t="s">
        <v>379</v>
      </c>
      <c r="C8" s="7" t="s">
        <v>380</v>
      </c>
      <c r="D8" s="7" t="s">
        <v>381</v>
      </c>
      <c r="E8" s="7" t="s">
        <v>382</v>
      </c>
      <c r="F8" s="7" t="s">
        <v>383</v>
      </c>
      <c r="G8" s="7" t="s">
        <v>384</v>
      </c>
      <c r="H8" s="7" t="s">
        <v>385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6" customHeight="1">
      <c r="A9" s="5">
        <v>3</v>
      </c>
      <c r="B9" s="5" t="s">
        <v>386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391</v>
      </c>
      <c r="H9" s="5" t="s">
        <v>392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55" customHeight="1">
      <c r="A10" s="7">
        <v>4</v>
      </c>
      <c r="B10" s="7" t="s">
        <v>393</v>
      </c>
      <c r="C10" s="7" t="s">
        <v>394</v>
      </c>
      <c r="D10" s="7" t="s">
        <v>395</v>
      </c>
      <c r="E10" s="7" t="s">
        <v>396</v>
      </c>
      <c r="F10" s="7" t="s">
        <v>397</v>
      </c>
      <c r="G10" s="7" t="s">
        <v>398</v>
      </c>
      <c r="H10" s="7" t="s">
        <v>399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55" customHeight="1">
      <c r="A11" s="5">
        <v>5</v>
      </c>
      <c r="B11" s="5" t="s">
        <v>400</v>
      </c>
      <c r="C11" s="5" t="s">
        <v>401</v>
      </c>
      <c r="D11" s="5" t="s">
        <v>402</v>
      </c>
      <c r="E11" s="5" t="s">
        <v>403</v>
      </c>
      <c r="F11" s="5" t="s">
        <v>404</v>
      </c>
      <c r="G11" s="5" t="s">
        <v>405</v>
      </c>
      <c r="H11" s="5" t="s">
        <v>406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5" customHeight="1">
      <c r="A12" s="7">
        <v>6</v>
      </c>
      <c r="B12" s="7" t="s">
        <v>407</v>
      </c>
      <c r="C12" s="7" t="s">
        <v>408</v>
      </c>
      <c r="D12" s="7" t="s">
        <v>409</v>
      </c>
      <c r="E12" s="7" t="s">
        <v>410</v>
      </c>
      <c r="F12" s="7" t="s">
        <v>411</v>
      </c>
      <c r="G12" s="7" t="s">
        <v>412</v>
      </c>
      <c r="H12" s="7" t="s">
        <v>413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55" customHeight="1">
      <c r="A13" s="5">
        <v>7</v>
      </c>
      <c r="B13" s="5" t="s">
        <v>414</v>
      </c>
      <c r="C13" s="5" t="s">
        <v>415</v>
      </c>
      <c r="D13" s="19" t="s">
        <v>526</v>
      </c>
      <c r="E13" s="5" t="s">
        <v>416</v>
      </c>
      <c r="F13" s="5" t="s">
        <v>417</v>
      </c>
      <c r="G13" s="5" t="s">
        <v>418</v>
      </c>
      <c r="H13" s="5" t="s">
        <v>419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6" customHeight="1">
      <c r="A14" s="7">
        <v>8</v>
      </c>
      <c r="B14" s="7" t="s">
        <v>420</v>
      </c>
      <c r="C14" s="7" t="s">
        <v>421</v>
      </c>
      <c r="D14" s="7" t="s">
        <v>422</v>
      </c>
      <c r="E14" s="7" t="s">
        <v>423</v>
      </c>
      <c r="F14" s="7" t="s">
        <v>424</v>
      </c>
      <c r="G14" s="7" t="s">
        <v>425</v>
      </c>
      <c r="H14" s="7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55" customHeight="1">
      <c r="A15" s="5">
        <v>9</v>
      </c>
      <c r="B15" s="5" t="s">
        <v>427</v>
      </c>
      <c r="C15" s="5" t="s">
        <v>428</v>
      </c>
      <c r="D15" s="5" t="s">
        <v>429</v>
      </c>
      <c r="E15" s="5" t="s">
        <v>430</v>
      </c>
      <c r="F15" s="5" t="s">
        <v>431</v>
      </c>
      <c r="G15" s="5" t="s">
        <v>432</v>
      </c>
      <c r="H15" s="5" t="s">
        <v>433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55" customHeight="1">
      <c r="A16" s="7">
        <v>10</v>
      </c>
      <c r="B16" s="7" t="s">
        <v>434</v>
      </c>
      <c r="C16" s="7" t="s">
        <v>435</v>
      </c>
      <c r="D16" s="7" t="s">
        <v>436</v>
      </c>
      <c r="E16" s="7" t="s">
        <v>437</v>
      </c>
      <c r="F16" s="7" t="s">
        <v>438</v>
      </c>
      <c r="G16" s="7" t="s">
        <v>439</v>
      </c>
      <c r="H16" s="7" t="s">
        <v>440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5" customHeight="1">
      <c r="A17" s="5">
        <v>11</v>
      </c>
      <c r="B17" s="5" t="s">
        <v>441</v>
      </c>
      <c r="C17" s="5" t="s">
        <v>442</v>
      </c>
      <c r="D17" s="5" t="s">
        <v>443</v>
      </c>
      <c r="E17" s="5" t="s">
        <v>444</v>
      </c>
      <c r="F17" s="5" t="s">
        <v>445</v>
      </c>
      <c r="G17" s="5" t="s">
        <v>446</v>
      </c>
      <c r="H17" s="5" t="s">
        <v>447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55" customHeight="1">
      <c r="A18" s="7">
        <v>12</v>
      </c>
      <c r="B18" s="7" t="s">
        <v>448</v>
      </c>
      <c r="C18" s="7" t="s">
        <v>449</v>
      </c>
      <c r="D18" s="7" t="s">
        <v>450</v>
      </c>
      <c r="E18" s="7" t="s">
        <v>451</v>
      </c>
      <c r="F18" s="7" t="s">
        <v>452</v>
      </c>
      <c r="G18" s="7" t="s">
        <v>453</v>
      </c>
      <c r="H18" s="7" t="s">
        <v>454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55" customHeight="1">
      <c r="A19" s="5">
        <v>13</v>
      </c>
      <c r="B19" s="5" t="s">
        <v>455</v>
      </c>
      <c r="C19" s="5" t="s">
        <v>456</v>
      </c>
      <c r="D19" s="5" t="s">
        <v>457</v>
      </c>
      <c r="E19" s="5" t="s">
        <v>458</v>
      </c>
      <c r="F19" s="5" t="s">
        <v>459</v>
      </c>
      <c r="G19" s="5" t="s">
        <v>460</v>
      </c>
      <c r="H19" s="5" t="s">
        <v>461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5" customHeight="1">
      <c r="A20" s="7">
        <v>14</v>
      </c>
      <c r="B20" s="7" t="s">
        <v>462</v>
      </c>
      <c r="C20" s="7" t="s">
        <v>463</v>
      </c>
      <c r="D20" s="7" t="s">
        <v>464</v>
      </c>
      <c r="E20" s="7" t="s">
        <v>465</v>
      </c>
      <c r="F20" s="7" t="s">
        <v>466</v>
      </c>
      <c r="G20" s="7" t="s">
        <v>467</v>
      </c>
      <c r="H20" s="7" t="s">
        <v>468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C11" sqref="C11"/>
    </sheetView>
  </sheetViews>
  <sheetFormatPr defaultRowHeight="13.8"/>
  <cols>
    <col min="1" max="1" width="8" customWidth="1"/>
    <col min="2" max="2" width="28" customWidth="1"/>
    <col min="3" max="3" width="65" customWidth="1"/>
    <col min="4" max="4" width="58" customWidth="1"/>
    <col min="5" max="5" width="35" customWidth="1"/>
    <col min="6" max="6" width="20" customWidth="1"/>
  </cols>
  <sheetData>
    <row r="1" spans="1:23" ht="2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2" customHeight="1">
      <c r="A2" s="2" t="s">
        <v>469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2" customHeight="1">
      <c r="A3" s="3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4" t="s">
        <v>470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 t="s">
        <v>471</v>
      </c>
      <c r="C6" s="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 t="s">
        <v>472</v>
      </c>
      <c r="C7" s="1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6" customHeight="1">
      <c r="A10" s="6" t="s">
        <v>364</v>
      </c>
      <c r="B10" s="6" t="s">
        <v>473</v>
      </c>
      <c r="C10" s="6" t="s">
        <v>474</v>
      </c>
      <c r="D10" s="6" t="s">
        <v>475</v>
      </c>
      <c r="E10" s="6" t="s">
        <v>476</v>
      </c>
      <c r="F10" s="6" t="s">
        <v>477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6" customHeight="1">
      <c r="A11" s="5" t="s">
        <v>478</v>
      </c>
      <c r="B11" s="5" t="s">
        <v>479</v>
      </c>
      <c r="C11" s="5" t="s">
        <v>480</v>
      </c>
      <c r="D11" s="5" t="s">
        <v>481</v>
      </c>
      <c r="E11" s="18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6" customHeight="1">
      <c r="A12" s="7" t="s">
        <v>482</v>
      </c>
      <c r="B12" s="7" t="s">
        <v>483</v>
      </c>
      <c r="C12" s="7" t="s">
        <v>484</v>
      </c>
      <c r="D12" s="7" t="s">
        <v>485</v>
      </c>
      <c r="E12" s="18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6" customHeight="1">
      <c r="A13" s="5" t="s">
        <v>486</v>
      </c>
      <c r="B13" s="5" t="s">
        <v>487</v>
      </c>
      <c r="C13" s="5" t="s">
        <v>488</v>
      </c>
      <c r="D13" s="5" t="s">
        <v>489</v>
      </c>
      <c r="E13" s="18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6" customHeight="1">
      <c r="A14" s="7" t="s">
        <v>490</v>
      </c>
      <c r="B14" s="7" t="s">
        <v>491</v>
      </c>
      <c r="C14" s="7" t="s">
        <v>492</v>
      </c>
      <c r="D14" s="7" t="s">
        <v>493</v>
      </c>
      <c r="E14" s="18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6" customHeight="1">
      <c r="A15" s="5" t="s">
        <v>494</v>
      </c>
      <c r="B15" s="5" t="s">
        <v>495</v>
      </c>
      <c r="C15" s="5" t="s">
        <v>496</v>
      </c>
      <c r="D15" s="5" t="s">
        <v>497</v>
      </c>
      <c r="E15" s="18"/>
      <c r="F15" s="1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6" customHeight="1">
      <c r="A16" s="7" t="s">
        <v>498</v>
      </c>
      <c r="B16" s="7" t="s">
        <v>499</v>
      </c>
      <c r="C16" s="7" t="s">
        <v>500</v>
      </c>
      <c r="D16" s="7" t="s">
        <v>501</v>
      </c>
      <c r="E16" s="18"/>
      <c r="F16" s="1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6" customHeight="1">
      <c r="A17" s="5" t="s">
        <v>502</v>
      </c>
      <c r="B17" s="5" t="s">
        <v>503</v>
      </c>
      <c r="C17" s="5" t="s">
        <v>504</v>
      </c>
      <c r="D17" s="5" t="s">
        <v>505</v>
      </c>
      <c r="E17" s="18"/>
      <c r="F17" s="1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6" customHeight="1">
      <c r="A18" s="7" t="s">
        <v>506</v>
      </c>
      <c r="B18" s="7" t="s">
        <v>507</v>
      </c>
      <c r="C18" s="7" t="s">
        <v>508</v>
      </c>
      <c r="D18" s="7" t="s">
        <v>509</v>
      </c>
      <c r="E18" s="18"/>
      <c r="F18" s="1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6" customHeight="1">
      <c r="A19" s="5" t="s">
        <v>510</v>
      </c>
      <c r="B19" s="5" t="s">
        <v>511</v>
      </c>
      <c r="C19" s="5" t="s">
        <v>512</v>
      </c>
      <c r="D19" s="5" t="s">
        <v>513</v>
      </c>
      <c r="E19" s="18"/>
      <c r="F19" s="1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6" customHeight="1">
      <c r="A20" s="7" t="s">
        <v>514</v>
      </c>
      <c r="B20" s="7" t="s">
        <v>515</v>
      </c>
      <c r="C20" s="7" t="s">
        <v>516</v>
      </c>
      <c r="D20" s="7" t="s">
        <v>517</v>
      </c>
      <c r="E20" s="18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6" customHeight="1">
      <c r="A21" s="5" t="s">
        <v>518</v>
      </c>
      <c r="B21" s="5" t="s">
        <v>519</v>
      </c>
      <c r="C21" s="5" t="s">
        <v>520</v>
      </c>
      <c r="D21" s="5" t="s">
        <v>521</v>
      </c>
      <c r="E21" s="18"/>
      <c r="F21" s="1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6" customHeight="1">
      <c r="A22" s="7" t="s">
        <v>522</v>
      </c>
      <c r="B22" s="7" t="s">
        <v>523</v>
      </c>
      <c r="C22" s="7" t="s">
        <v>524</v>
      </c>
      <c r="D22" s="7" t="s">
        <v>525</v>
      </c>
      <c r="E22" s="18"/>
      <c r="F22" s="1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'Компании и цены'!$B$7:$B$29</xm:f>
          </x14:formula1>
          <xm:sqref>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Первые переговоры</vt:lpstr>
      <vt:lpstr>Компании и цены</vt:lpstr>
      <vt:lpstr>Аккредитация</vt:lpstr>
      <vt:lpstr>CJM полного цикла</vt:lpstr>
      <vt:lpstr>Лист встречи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Ефимов Артём Игоревич</dc:creator>
  <cp:lastModifiedBy>Ефимов Артём Игоревич</cp:lastModifiedBy>
  <dcterms:created xsi:type="dcterms:W3CDTF">2026-10-15T09:51:22Z</dcterms:created>
  <dcterms:modified xsi:type="dcterms:W3CDTF">2026-10-19T10:54:14Z</dcterms:modified>
</cp:coreProperties>
</file>